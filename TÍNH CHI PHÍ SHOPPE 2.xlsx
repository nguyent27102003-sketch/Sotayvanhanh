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0b3eef512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G_TINH" sheetId="1" r:id="R165dc9796e0541c1"/>
    <x:sheet xmlns:r="http://schemas.openxmlformats.org/officeDocument/2006/relationships" name="DATA" sheetId="2" r:id="R792f342d7fd049f4"/>
    <x:sheet xmlns:r="http://schemas.openxmlformats.org/officeDocument/2006/relationships" name="SETTINGS" sheetId="3" r:id="R3a0bc89b470449d1"/>
    <x:sheet xmlns:r="http://schemas.openxmlformats.org/officeDocument/2006/relationships" name="HUONG_DAN" sheetId="4" r:id="R9454074a0561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&quot;đ&quot;"/>
    <x:numFmt numFmtId="202" formatCode="0.0%"/>
  </x:numFmts>
  <x:fonts count="13">
    <x:font>
      <x:sz val="11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b/>
      <x:sz val="11"/>
      <x:color rgb="FFFFFFFF"/>
      <x:name val="Carlito"/>
    </x:font>
    <x:font>
      <x:b/>
      <x:sz val="10"/>
      <x:color rgb="FF111111"/>
      <x:name val="Arial"/>
    </x:font>
    <x:font>
      <x:sz val="10"/>
      <x:color rgb="FF111111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2"/>
      <x:color rgb="FFFFFFFF"/>
      <x:name val="Arial"/>
    </x:font>
    <x:font>
      <x:sz val="10"/>
      <x:name val="Carlito"/>
    </x:font>
    <x:font>
      <x:b/>
      <x:sz val="10"/>
      <x:color rgb="FF111111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17375E"/>
      </x:patternFill>
    </x:fill>
    <x:fill>
      <x:patternFill patternType="solid">
        <x:fgColor rgb="FF0070C0"/>
      </x:patternFill>
    </x:fill>
    <x:fill>
      <x:patternFill patternType="solid">
        <x:fgColor rgb="FF984806"/>
      </x:patternFill>
    </x:fill>
    <x:fill>
      <x:patternFill patternType="solid">
        <x:fgColor rgb="FF7030A0"/>
      </x:patternFill>
    </x:fill>
    <x:fill>
      <x:patternFill patternType="solid">
        <x:fgColor rgb="FF006100"/>
      </x:patternFill>
    </x:fill>
    <x:fill>
      <x:patternFill patternType="solid">
        <x:fgColor rgb="FF156082"/>
      </x:patternFill>
    </x:fill>
    <x:fill>
      <x:patternFill patternType="solid">
        <x:fgColor rgb="FFCFE8F6"/>
      </x:patternFill>
    </x:fill>
    <x:fill>
      <x:patternFill patternType="solid">
        <x:fgColor rgb="FFEAF4FB"/>
      </x:patternFill>
    </x:fill>
    <x:fill>
      <x:patternFill patternType="solid">
        <x:fgColor rgb="FF1F4E78"/>
      </x:patternFill>
    </x:fill>
    <x:fill>
      <x:patternFill patternType="solid">
        <x:fgColor rgb="FF111111"/>
      </x:patternFill>
    </x:fill>
    <x:fill>
      <x:patternFill patternType="solid">
        <x:fgColor rgb="FF0057A8"/>
      </x:patternFill>
    </x:fill>
    <x:fill>
      <x:patternFill patternType="solid">
        <x:fgColor rgb="FFE31B23"/>
      </x:patternFill>
    </x:fill>
    <x:fill>
      <x:patternFill patternType="solid">
        <x:fgColor rgb="FF8E0E16"/>
      </x:patternFill>
    </x:fill>
    <x:fill>
      <x:patternFill patternType="solid">
        <x:fgColor rgb="FF003B73"/>
      </x:patternFill>
    </x:fill>
    <x:fill>
      <x:patternFill patternType="solid">
        <x:fgColor rgb="FFEEF9FC"/>
      </x:patternFill>
    </x:fill>
    <x:fill>
      <x:patternFill patternType="solid">
        <x:fgColor rgb="FFEAF4FF"/>
      </x:patternFill>
    </x:fill>
    <x:fill>
      <x:patternFill patternType="solid">
        <x:fgColor rgb="FFFFF0F0"/>
      </x:patternFill>
    </x:fill>
    <x:fill>
      <x:patternFill patternType="solid">
        <x:fgColor rgb="FFFBE9EA"/>
      </x:patternFill>
    </x:fill>
    <x:fill>
      <x:patternFill patternType="solid">
        <x:fgColor rgb="FFF6F7F8"/>
      </x:patternFill>
    </x:fill>
    <x:fill>
      <x:patternFill patternType="solid">
        <x:fgColor rgb="FFFFF4D6"/>
      </x:patternFill>
    </x:fill>
    <x:fill>
      <x:patternFill patternType="solid">
        <x:fgColor rgb="FFDFF1FF"/>
      </x:patternFill>
    </x:fill>
    <x:fill>
      <x:patternFill patternType="solid">
        <x:fgColor rgb="FFF8D7DA"/>
      </x:patternFill>
    </x:fill>
    <x:fill>
      <x:patternFill patternType="solid">
        <x:fgColor rgb="FFEDEFF2"/>
      </x:patternFill>
    </x:fill>
    <x:fill>
      <x:patternFill patternType="solid">
        <x:fgColor rgb="FFE6F2FF"/>
      </x:patternFill>
    </x:fill>
    <x:fill>
      <x:patternFill patternType="solid">
        <x:fgColor rgb="FFDFF6FF"/>
      </x:patternFill>
    </x:fill>
    <x:fill>
      <x:patternFill patternType="solid">
        <x:fgColor rgb="FFF4B400"/>
      </x:patternFill>
    </x:fill>
  </x:fills>
  <x:borders count="2">
    <x:border/>
    <x:border/>
  </x:borders>
  <x:cellStyleXfs count="1">
    <x:xf numFmtId="0" fontId="0" fillId="0" borderId="0"/>
  </x:cellStyleXfs>
  <x:cellXfs count="2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left" vertical="center"/>
    </x:xf>
    <x:xf numFmtId="0" fontId="3" fillId="8" borderId="1" xfId="0" applyNumberFormat="1" applyFont="1" applyFill="1" applyBorder="1" applyAlignment="1">
      <x:alignment horizontal="left" vertical="center"/>
    </x:xf>
    <x:xf numFmtId="0" fontId="3" fillId="8" borderId="0" xfId="0" applyNumberFormat="1" applyFont="1" applyFill="1" applyBorder="1" applyAlignment="1">
      <x:alignment horizontal="left" vertical="center" wrapText="1"/>
    </x:xf>
    <x:xf numFmtId="0" fontId="3" fillId="8" borderId="1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3" fillId="9" borderId="1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1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left" vertical="center"/>
    </x:xf>
    <x:xf numFmtId="0" fontId="3" fillId="9" borderId="1" xfId="0" applyNumberFormat="1" applyFont="1" applyFill="1" applyBorder="1" applyAlignment="1">
      <x:alignment horizontal="left" vertical="center"/>
    </x:xf>
    <x:xf numFmtId="0" fontId="3" fillId="9" borderId="0" xfId="0" applyNumberFormat="1" applyFont="1" applyFill="1" applyBorder="1" applyAlignment="1">
      <x:alignment horizontal="left" vertical="center" wrapText="1"/>
    </x:xf>
    <x:xf numFmtId="0" fontId="3" fillId="9" borderId="1" xfId="0" applyNumberFormat="1" applyFont="1" applyFill="1" applyBorder="1" applyAlignment="1">
      <x:alignment horizontal="left" vertical="center" wrapText="1"/>
    </x:xf>
    <x:xf numFmtId="200" fontId="3" fillId="8" borderId="0" xfId="0" applyNumberFormat="1" applyFont="1" applyFill="1" applyBorder="1" applyAlignment="1">
      <x:alignment horizontal="center" vertical="center"/>
    </x:xf>
    <x:xf numFmtId="200" fontId="3" fillId="9" borderId="0" xfId="0" applyNumberFormat="1" applyFont="1" applyFill="1" applyBorder="1" applyAlignment="1">
      <x:alignment horizontal="center" vertical="center"/>
    </x:xf>
    <x:xf numFmtId="200" fontId="3" fillId="8" borderId="1" xfId="0" applyNumberFormat="1" applyFont="1" applyFill="1" applyBorder="1" applyAlignment="1">
      <x:alignment horizontal="center" vertical="center"/>
    </x:xf>
    <x:xf numFmtId="200" fontId="3" fillId="9" borderId="1" xfId="0" applyNumberFormat="1" applyFont="1" applyFill="1" applyBorder="1" applyAlignment="1">
      <x:alignment horizontal="center" vertical="center"/>
    </x:xf>
    <x:xf numFmtId="201" fontId="3" fillId="8" borderId="0" xfId="0" applyNumberFormat="1" applyFont="1" applyFill="1" applyBorder="1" applyAlignment="1">
      <x:alignment horizontal="center" vertical="center"/>
    </x:xf>
    <x:xf numFmtId="201" fontId="3" fillId="9" borderId="0" xfId="0" applyNumberFormat="1" applyFont="1" applyFill="1" applyBorder="1" applyAlignment="1">
      <x:alignment horizontal="center" vertical="center"/>
    </x:xf>
    <x:xf numFmtId="201" fontId="3" fillId="8" borderId="1" xfId="0" applyNumberFormat="1" applyFont="1" applyFill="1" applyBorder="1" applyAlignment="1">
      <x:alignment horizontal="center" vertical="center"/>
    </x:xf>
    <x:xf numFmtId="201" fontId="3" fillId="9" borderId="1" xfId="0" applyNumberFormat="1" applyFont="1" applyFill="1" applyBorder="1" applyAlignment="1">
      <x:alignment horizontal="center" vertical="center"/>
    </x:xf>
    <x:xf numFmtId="202" fontId="3" fillId="8" borderId="0" xfId="0" applyNumberFormat="1" applyFont="1" applyFill="1" applyBorder="1" applyAlignment="1">
      <x:alignment horizontal="center" vertical="center"/>
    </x:xf>
    <x:xf numFmtId="202" fontId="3" fillId="9" borderId="0" xfId="0" applyNumberFormat="1" applyFont="1" applyFill="1" applyBorder="1" applyAlignment="1">
      <x:alignment horizontal="center" vertical="center"/>
    </x:xf>
    <x:xf numFmtId="202" fontId="3" fillId="8" borderId="1" xfId="0" applyNumberFormat="1" applyFont="1" applyFill="1" applyBorder="1" applyAlignment="1">
      <x:alignment horizontal="center" vertical="center"/>
    </x:xf>
    <x:xf numFmtId="202" fontId="3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202" fontId="0" fillId="9" borderId="0" xfId="0" applyNumberFormat="1" applyFont="1" applyFill="1" applyBorder="1" applyAlignment="1">
      <x:alignment wrapText="1"/>
    </x:xf>
    <x:xf numFmtId="202" fontId="0" fillId="9" borderId="1" xfId="0" applyNumberFormat="1" applyFont="1" applyFill="1" applyBorder="1" applyAlignment="1">
      <x:alignment wrapText="1"/>
    </x:xf>
    <x:xf numFmtId="201" fontId="0" fillId="9" borderId="0" xfId="0" applyNumberFormat="1" applyFont="1" applyFill="1" applyBorder="1" applyAlignment="1">
      <x:alignment wrapText="1"/>
    </x:xf>
    <x:xf numFmtId="201" fontId="0" fillId="9" borderId="1" xfId="0" applyNumberFormat="1" applyFont="1" applyFill="1" applyBorder="1" applyAlignment="1">
      <x:alignment wrapText="1"/>
    </x:xf>
    <x:xf numFmtId="202" fontId="0" fillId="9" borderId="0" xfId="0" applyNumberFormat="1" applyFont="1" applyFill="1" applyBorder="1"/>
    <x:xf numFmtId="202" fontId="0" fillId="9" borderId="1" xfId="0" applyNumberFormat="1" applyFont="1" applyFill="1" applyBorder="1"/>
    <x:xf numFmtId="201" fontId="0" fillId="9" borderId="0" xfId="0" applyNumberFormat="1" applyFont="1" applyFill="1" applyBorder="1"/>
    <x:xf numFmtId="201" fontId="0" fillId="9" borderId="1" xfId="0" applyNumberFormat="1" applyFont="1" applyFill="1" applyBorder="1"/>
    <x:xf numFmtId="0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200" fontId="6" fillId="8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horizontal="center" vertical="center"/>
    </x:xf>
    <x:xf numFmtId="201" fontId="6" fillId="8" borderId="0" xfId="0" applyNumberFormat="1" applyFont="1" applyFill="1" applyBorder="1" applyAlignment="1">
      <x:alignment horizontal="center" vertical="center"/>
    </x:xf>
    <x:xf numFmtId="202" fontId="6" fillId="8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horizontal="left" vertical="center" wrapText="1"/>
    </x:xf>
    <x:xf numFmtId="200" fontId="6" fillId="9" borderId="0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6" fillId="9" borderId="0" xfId="0" applyNumberFormat="1" applyFont="1" applyFill="1" applyBorder="1" applyAlignment="1">
      <x:alignment horizontal="center" vertical="center"/>
    </x:xf>
    <x:xf numFmtId="201" fontId="6" fillId="9" borderId="0" xfId="0" applyNumberFormat="1" applyFont="1" applyFill="1" applyBorder="1" applyAlignment="1">
      <x:alignment horizontal="center" vertical="center"/>
    </x:xf>
    <x:xf numFmtId="202" fontId="6" fillId="9" borderId="0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center" vertical="center" wrapText="0"/>
    </x:xf>
    <x:xf numFmtId="0" fontId="5" fillId="3" borderId="0" xfId="0" applyNumberFormat="1" applyFont="1" applyFill="1" applyBorder="1" applyAlignment="1">
      <x:alignment horizontal="center" vertical="center" wrapText="0"/>
    </x:xf>
    <x:xf numFmtId="0" fontId="5" fillId="4" borderId="0" xfId="0" applyNumberFormat="1" applyFont="1" applyFill="1" applyBorder="1" applyAlignment="1">
      <x:alignment horizontal="center" vertical="center" wrapText="0"/>
    </x:xf>
    <x:xf numFmtId="0" fontId="5" fillId="5" borderId="0" xfId="0" applyNumberFormat="1" applyFont="1" applyFill="1" applyBorder="1" applyAlignment="1">
      <x:alignment horizontal="center" vertical="center" wrapText="0"/>
    </x:xf>
    <x:xf numFmtId="0" fontId="5" fillId="6" borderId="0" xfId="0" applyNumberFormat="1" applyFont="1" applyFill="1" applyBorder="1" applyAlignment="1">
      <x:alignment horizontal="center" vertical="center" wrapText="0"/>
    </x:xf>
    <x:xf numFmtId="0" fontId="5" fillId="7" borderId="0" xfId="0" applyNumberFormat="1" applyFont="1" applyFill="1" applyBorder="1" applyAlignment="1">
      <x:alignment horizontal="center" vertical="center" wrapText="0"/>
    </x:xf>
    <x:xf numFmtId="200" fontId="6" fillId="8" borderId="0" xfId="0" applyNumberFormat="1" applyFont="1" applyFill="1" applyBorder="1" applyAlignment="1">
      <x:alignment horizontal="center" vertical="center" wrapText="0"/>
    </x:xf>
    <x:xf numFmtId="0" fontId="6" fillId="8" borderId="0" xfId="0" applyNumberFormat="1" applyFont="1" applyFill="1" applyBorder="1" applyAlignment="1">
      <x:alignment horizontal="left" vertical="center" wrapText="0"/>
    </x:xf>
    <x:xf numFmtId="0" fontId="6" fillId="8" borderId="0" xfId="0" applyNumberFormat="1" applyFont="1" applyFill="1" applyBorder="1" applyAlignment="1">
      <x:alignment horizontal="center" vertical="center" wrapText="0"/>
    </x:xf>
    <x:xf numFmtId="201" fontId="6" fillId="8" borderId="0" xfId="0" applyNumberFormat="1" applyFont="1" applyFill="1" applyBorder="1" applyAlignment="1">
      <x:alignment horizontal="center" vertical="center" wrapText="0"/>
    </x:xf>
    <x:xf numFmtId="202" fontId="6" fillId="8" borderId="0" xfId="0" applyNumberFormat="1" applyFont="1" applyFill="1" applyBorder="1" applyAlignment="1">
      <x:alignment horizontal="center" vertical="center" wrapText="0"/>
    </x:xf>
    <x:xf numFmtId="200" fontId="6" fillId="9" borderId="0" xfId="0" applyNumberFormat="1" applyFont="1" applyFill="1" applyBorder="1" applyAlignment="1">
      <x:alignment horizontal="center" vertical="center" wrapText="0"/>
    </x:xf>
    <x:xf numFmtId="0" fontId="6" fillId="9" borderId="0" xfId="0" applyNumberFormat="1" applyFont="1" applyFill="1" applyBorder="1" applyAlignment="1">
      <x:alignment horizontal="left" vertical="center" wrapText="0"/>
    </x:xf>
    <x:xf numFmtId="0" fontId="6" fillId="9" borderId="0" xfId="0" applyNumberFormat="1" applyFont="1" applyFill="1" applyBorder="1" applyAlignment="1">
      <x:alignment horizontal="center" vertical="center" wrapText="0"/>
    </x:xf>
    <x:xf numFmtId="201" fontId="6" fillId="9" borderId="0" xfId="0" applyNumberFormat="1" applyFont="1" applyFill="1" applyBorder="1" applyAlignment="1">
      <x:alignment horizontal="center" vertical="center" wrapText="0"/>
    </x:xf>
    <x:xf numFmtId="202" fontId="6" fillId="9" borderId="0" xfId="0" applyNumberFormat="1" applyFont="1" applyFill="1" applyBorder="1" applyAlignment="1">
      <x:alignment horizontal="center" vertical="center" wrapText="0"/>
    </x:xf>
    <x:xf numFmtId="0" fontId="5" fillId="11" borderId="0" xfId="0" applyNumberFormat="1" applyFont="1" applyFill="1" applyBorder="1" applyAlignment="1">
      <x:alignment horizontal="center" vertical="center" wrapText="0"/>
    </x:xf>
    <x:xf numFmtId="0" fontId="7" fillId="11" borderId="0" xfId="0" applyNumberFormat="1" applyFont="1" applyFill="1" applyBorder="1" applyAlignment="1">
      <x:alignment horizontal="center" vertical="center" wrapText="0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 applyAlignment="1">
      <x:alignment horizontal="center" vertical="center" wrapText="0"/>
    </x:xf>
    <x:xf numFmtId="0" fontId="7" fillId="12" borderId="0" xfId="0" applyNumberFormat="1" applyFont="1" applyFill="1" applyBorder="1" applyAlignment="1">
      <x:alignment horizontal="center" vertical="center" wrapText="0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5" fillId="13" borderId="0" xfId="0" applyNumberFormat="1" applyFont="1" applyFill="1" applyBorder="1" applyAlignment="1">
      <x:alignment horizontal="center" vertical="center" wrapText="0"/>
    </x:xf>
    <x:xf numFmtId="0" fontId="7" fillId="13" borderId="0" xfId="0" applyNumberFormat="1" applyFont="1" applyFill="1" applyBorder="1" applyAlignment="1">
      <x:alignment horizontal="center" vertical="center" wrapText="0"/>
    </x:xf>
    <x:xf numFmtId="0" fontId="7" fillId="13" borderId="0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0"/>
    </x:xf>
    <x:xf numFmtId="0" fontId="7" fillId="14" borderId="0" xfId="0" applyNumberFormat="1" applyFont="1" applyFill="1" applyBorder="1" applyAlignment="1">
      <x:alignment horizontal="center" vertical="center" wrapText="0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 applyAlignment="1">
      <x:alignment horizontal="center" vertical="center" wrapText="0"/>
    </x:xf>
    <x:xf numFmtId="0" fontId="7" fillId="15" borderId="0" xfId="0" applyNumberFormat="1" applyFont="1" applyFill="1" applyBorder="1" applyAlignment="1">
      <x:alignment horizontal="center" vertical="center" wrapText="0"/>
    </x:xf>
    <x:xf numFmtId="0" fontId="7" fillId="15" borderId="0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8" fillId="15" borderId="0" xfId="0" applyNumberFormat="1" applyFont="1" applyFill="1" applyBorder="1" applyAlignment="1">
      <x:alignment horizontal="center" vertical="center" wrapText="1"/>
    </x:xf>
    <x:xf numFmtId="200" fontId="6" fillId="16" borderId="0" xfId="0" applyNumberFormat="1" applyFont="1" applyFill="1" applyBorder="1" applyAlignment="1">
      <x:alignment horizontal="center" vertical="center" wrapText="0"/>
    </x:xf>
    <x:xf numFmtId="0" fontId="6" fillId="16" borderId="0" xfId="0" applyNumberFormat="1" applyFont="1" applyFill="1" applyBorder="1" applyAlignment="1">
      <x:alignment horizontal="left" vertical="center" wrapText="0"/>
    </x:xf>
    <x:xf numFmtId="0" fontId="6" fillId="16" borderId="0" xfId="0" applyNumberFormat="1" applyFont="1" applyFill="1" applyBorder="1" applyAlignment="1">
      <x:alignment horizontal="center" vertical="center" wrapText="0"/>
    </x:xf>
    <x:xf numFmtId="201" fontId="6" fillId="17" borderId="0" xfId="0" applyNumberFormat="1" applyFont="1" applyFill="1" applyBorder="1" applyAlignment="1">
      <x:alignment horizontal="center" vertical="center" wrapText="0"/>
    </x:xf>
    <x:xf numFmtId="201" fontId="6" fillId="18" borderId="0" xfId="0" applyNumberFormat="1" applyFont="1" applyFill="1" applyBorder="1" applyAlignment="1">
      <x:alignment horizontal="center" vertical="center" wrapText="0"/>
    </x:xf>
    <x:xf numFmtId="202" fontId="6" fillId="18" borderId="0" xfId="0" applyNumberFormat="1" applyFont="1" applyFill="1" applyBorder="1" applyAlignment="1">
      <x:alignment horizontal="center" vertical="center" wrapText="0"/>
    </x:xf>
    <x:xf numFmtId="202" fontId="6" fillId="19" borderId="0" xfId="0" applyNumberFormat="1" applyFont="1" applyFill="1" applyBorder="1" applyAlignment="1">
      <x:alignment horizontal="center" vertical="center" wrapText="0"/>
    </x:xf>
    <x:xf numFmtId="201" fontId="6" fillId="19" borderId="0" xfId="0" applyNumberFormat="1" applyFont="1" applyFill="1" applyBorder="1" applyAlignment="1">
      <x:alignment horizontal="center" vertical="center" wrapText="0"/>
    </x:xf>
    <x:xf numFmtId="201" fontId="6" fillId="20" borderId="0" xfId="0" applyNumberFormat="1" applyFont="1" applyFill="1" applyBorder="1" applyAlignment="1">
      <x:alignment horizontal="center" vertical="center" wrapText="0"/>
    </x:xf>
    <x:xf numFmtId="202" fontId="6" fillId="17" borderId="0" xfId="0" applyNumberFormat="1" applyFont="1" applyFill="1" applyBorder="1" applyAlignment="1">
      <x:alignment horizontal="center" vertical="center" wrapText="0"/>
    </x:xf>
    <x:xf numFmtId="0" fontId="6" fillId="17" borderId="0" xfId="0" applyNumberFormat="1" applyFont="1" applyFill="1" applyBorder="1" applyAlignment="1">
      <x:alignment horizontal="center" vertical="center" wrapText="0"/>
    </x:xf>
    <x:xf numFmtId="0" fontId="6" fillId="17" borderId="0" xfId="0" applyNumberFormat="1" applyFont="1" applyFill="1" applyBorder="1" applyAlignment="1">
      <x:alignment horizontal="left" vertical="center" wrapText="0"/>
    </x:xf>
    <x:xf numFmtId="200" fontId="6" fillId="21" borderId="0" xfId="0" applyNumberFormat="1" applyFont="1" applyFill="1" applyBorder="1" applyAlignment="1">
      <x:alignment horizontal="center" vertical="center" wrapText="0"/>
    </x:xf>
    <x:xf numFmtId="0" fontId="6" fillId="21" borderId="0" xfId="0" applyNumberFormat="1" applyFont="1" applyFill="1" applyBorder="1" applyAlignment="1">
      <x:alignment horizontal="left" vertical="center" wrapText="0"/>
    </x:xf>
    <x:xf numFmtId="0" fontId="6" fillId="21" borderId="0" xfId="0" applyNumberFormat="1" applyFont="1" applyFill="1" applyBorder="1" applyAlignment="1">
      <x:alignment horizontal="center" vertical="center" wrapText="0"/>
    </x:xf>
    <x:xf numFmtId="201" fontId="6" fillId="21" borderId="0" xfId="0" applyNumberFormat="1" applyFont="1" applyFill="1" applyBorder="1" applyAlignment="1">
      <x:alignment horizontal="center" vertical="center" wrapText="0"/>
    </x:xf>
    <x:xf numFmtId="202" fontId="6" fillId="21" borderId="0" xfId="0" applyNumberFormat="1" applyFont="1" applyFill="1" applyBorder="1" applyAlignment="1">
      <x:alignment horizontal="center" vertical="center" wrapText="0"/>
    </x:xf>
    <x:xf numFmtId="201" fontId="6" fillId="22" borderId="0" xfId="0" applyNumberFormat="1" applyFont="1" applyFill="1" applyBorder="1" applyAlignment="1">
      <x:alignment horizontal="center" vertical="center" wrapText="0"/>
    </x:xf>
    <x:xf numFmtId="201" fontId="6" fillId="23" borderId="0" xfId="0" applyNumberFormat="1" applyFont="1" applyFill="1" applyBorder="1" applyAlignment="1">
      <x:alignment horizontal="center" vertical="center" wrapText="0"/>
    </x:xf>
    <x:xf numFmtId="201" fontId="6" fillId="24" borderId="0" xfId="0" applyNumberFormat="1" applyFont="1" applyFill="1" applyBorder="1" applyAlignment="1">
      <x:alignment horizontal="center" vertical="center" wrapText="0"/>
    </x:xf>
    <x:xf numFmtId="201" fontId="6" fillId="25" borderId="0" xfId="0" applyNumberFormat="1" applyFont="1" applyFill="1" applyBorder="1" applyAlignment="1">
      <x:alignment horizontal="center" vertical="center" wrapText="0"/>
    </x:xf>
    <x:xf numFmtId="202" fontId="6" fillId="25" borderId="0" xfId="0" applyNumberFormat="1" applyFont="1" applyFill="1" applyBorder="1" applyAlignment="1">
      <x:alignment horizontal="center" vertical="center" wrapText="0"/>
    </x:xf>
    <x:xf numFmtId="0" fontId="6" fillId="25" borderId="0" xfId="0" applyNumberFormat="1" applyFont="1" applyFill="1" applyBorder="1" applyAlignment="1">
      <x:alignment horizontal="center" vertical="center" wrapText="0"/>
    </x:xf>
    <x:xf numFmtId="201" fontId="5" fillId="24" borderId="0" xfId="0" applyNumberFormat="1" applyFont="1" applyFill="1" applyBorder="1" applyAlignment="1">
      <x:alignment horizontal="center" vertical="center" wrapText="0"/>
    </x:xf>
    <x:xf numFmtId="0" fontId="5" fillId="25" borderId="0" xfId="0" applyNumberFormat="1" applyFont="1" applyFill="1" applyBorder="1" applyAlignment="1">
      <x:alignment horizontal="center" vertical="center" wrapText="0"/>
    </x:xf>
    <x:xf numFmtId="0" fontId="6" fillId="16" borderId="0" xfId="0" applyNumberFormat="1" applyFont="1" applyFill="1" applyBorder="1" applyAlignment="1">
      <x:alignment horizontal="left" vertical="center" wrapText="1"/>
    </x:xf>
    <x:xf numFmtId="0" fontId="7" fillId="10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202" fontId="9" fillId="9" borderId="0" xfId="0" applyNumberFormat="1" applyFont="1" applyFill="1" applyBorder="1" applyAlignment="1">
      <x:alignment wrapText="1"/>
    </x:xf>
    <x:xf numFmtId="201" fontId="9" fillId="9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 wrapText="1"/>
    </x:xf>
    <x:xf numFmtId="202" fontId="9" fillId="9" borderId="0" xfId="0" applyNumberFormat="1" applyFont="1" applyFill="1" applyBorder="1" applyAlignment="1">
      <x:alignment vertical="center" wrapText="1"/>
    </x:xf>
    <x:xf numFmtId="201" fontId="9" fillId="9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 applyAlignment="1">
      <x:alignment horizontal="center" vertical="center"/>
    </x:xf>
    <x:xf numFmtId="0" fontId="9" fillId="15" borderId="0" xfId="0" applyNumberFormat="1" applyFont="1" applyFill="1" applyBorder="1" applyAlignment="1">
      <x:alignment vertical="center" wrapText="1"/>
    </x:xf>
    <x:xf numFmtId="202" fontId="9" fillId="15" borderId="0" xfId="0" applyNumberFormat="1" applyFont="1" applyFill="1" applyBorder="1" applyAlignment="1">
      <x:alignment vertical="center" wrapText="1"/>
    </x:xf>
    <x:xf numFmtId="201" fontId="9" fillId="15" borderId="0" xfId="0" applyNumberFormat="1" applyFont="1" applyFill="1" applyBorder="1" applyAlignment="1">
      <x:alignment vertical="center" wrapText="1"/>
    </x:xf>
    <x:xf numFmtId="0" fontId="7" fillId="15" borderId="0" xfId="0" applyNumberFormat="1" applyFont="1" applyFill="1" applyBorder="1" applyAlignment="1">
      <x:alignment vertical="center" wrapText="1"/>
    </x:xf>
    <x:xf numFmtId="202" fontId="7" fillId="15" borderId="0" xfId="0" applyNumberFormat="1" applyFont="1" applyFill="1" applyBorder="1" applyAlignment="1">
      <x:alignment vertical="center" wrapText="1"/>
    </x:xf>
    <x:xf numFmtId="201" fontId="7" fillId="15" borderId="0" xfId="0" applyNumberFormat="1" applyFont="1" applyFill="1" applyBorder="1" applyAlignment="1">
      <x:alignment vertical="center" wrapText="1"/>
    </x:xf>
    <x:xf numFmtId="202" fontId="7" fillId="15" borderId="0" xfId="0" applyNumberFormat="1" applyFont="1" applyFill="1" applyBorder="1" applyAlignment="1">
      <x:alignment horizontal="center" vertical="center" wrapText="1"/>
    </x:xf>
    <x:xf numFmtId="201" fontId="7" fillId="15" borderId="0" xfId="0" applyNumberFormat="1" applyFont="1" applyFill="1" applyBorder="1" applyAlignment="1">
      <x:alignment horizontal="center" vertical="center" wrapText="1"/>
    </x:xf>
    <x:xf numFmtId="0" fontId="9" fillId="16" borderId="0" xfId="0" applyNumberFormat="1" applyFont="1" applyFill="1" applyBorder="1" applyAlignment="1">
      <x:alignment vertical="center" wrapText="1"/>
    </x:xf>
    <x:xf numFmtId="202" fontId="9" fillId="16" borderId="0" xfId="0" applyNumberFormat="1" applyFont="1" applyFill="1" applyBorder="1" applyAlignment="1">
      <x:alignment vertical="center" wrapText="1"/>
    </x:xf>
    <x:xf numFmtId="201" fontId="9" fillId="16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201" fontId="0" fillId="15" borderId="0" xfId="0" applyNumberFormat="1" applyFont="1" applyFill="1" applyBorder="1"/>
    <x:xf numFmtId="0" fontId="4" fillId="15" borderId="0" xfId="0" applyNumberFormat="1" applyFont="1" applyFill="1" applyBorder="1"/>
    <x:xf numFmtId="201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horizontal="center"/>
    </x:xf>
    <x:xf numFmtId="201" fontId="4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202" fontId="0" fillId="16" borderId="0" xfId="0" applyNumberFormat="1" applyFont="1" applyFill="1" applyBorder="1"/>
    <x:xf numFmtId="0" fontId="0" fillId="11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wrapText="1"/>
    </x:xf>
    <x:xf numFmtId="0" fontId="12" fillId="26" borderId="0" xfId="0" applyNumberFormat="1" applyFont="1" applyFill="1" applyBorder="1" applyAlignment="1">
      <x:alignment wrapText="1"/>
    </x:xf>
    <x:xf numFmtId="0" fontId="11" fillId="27" borderId="0" xfId="0" applyNumberFormat="1" applyFont="1" applyFill="1" applyBorder="1" applyAlignment="1">
      <x:alignment wrapText="1"/>
    </x:xf>
    <x:xf numFmtId="0" fontId="12" fillId="27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003B73"/>
      </x:font>
      <x:fill>
        <x:patternFill patternType="solid">
          <x:bgColor rgb="FFDFF6FF"/>
        </x:patternFill>
      </x:fill>
    </x:dxf>
    <x:dxf>
      <x:font>
        <x:b/>
        <x:color rgb="FF0057A8"/>
      </x:font>
      <x:fill>
        <x:patternFill patternType="solid">
          <x:bgColor rgb="FFE6F2F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FFFFFF"/>
      </x:font>
      <x:fill>
        <x:patternFill patternType="solid">
          <x:bgColor rgb="FFE31B23"/>
        </x:patternFill>
      </x:fill>
    </x:dxf>
    <x:dxf>
      <x:font>
        <x:color rgb="FF8E0E16"/>
      </x:font>
      <x:fill>
        <x:patternFill patternType="solid">
          <x:bgColor rgb="FFFCE4E4"/>
        </x:patternFill>
      </x:fill>
    </x:dxf>
    <x:dxf>
      <x:font>
        <x:color rgb="FF8A5A00"/>
      </x:font>
      <x:fill>
        <x:patternFill patternType="solid">
          <x:bgColor rgb="FFFFF4D6"/>
        </x:patternFill>
      </x:fill>
    </x:dxf>
    <x:dxf>
      <x:font>
        <x:color rgb="FF003B73"/>
      </x:font>
      <x:fill>
        <x:patternFill patternType="solid">
          <x:bgColor rgb="FFDFF6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78b03bfa64cdc" /><Relationship Type="http://schemas.openxmlformats.org/officeDocument/2006/relationships/theme" Target="/xl/theme/theme1.xml" Id="R0cf6099409404638" /><Relationship Type="http://schemas.openxmlformats.org/officeDocument/2006/relationships/sharedStrings" Target="/xl/sharedStrings.xml" Id="Ra3c372859a2c4d44" /><Relationship Type="http://schemas.openxmlformats.org/officeDocument/2006/relationships/worksheet" Target="/xl/worksheets/sheet1.xml" Id="R165dc9796e0541c1" /><Relationship Type="http://schemas.openxmlformats.org/officeDocument/2006/relationships/worksheet" Target="/xl/worksheets/sheet2.xml" Id="R792f342d7fd049f4" /><Relationship Type="http://schemas.openxmlformats.org/officeDocument/2006/relationships/worksheet" Target="/xl/worksheets/sheet3.xml" Id="R3a0bc89b470449d1" /><Relationship Type="http://schemas.openxmlformats.org/officeDocument/2006/relationships/worksheet" Target="/xl/worksheets/sheet4.xml" Id="R9454074a05614c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4" hidden="0" customWidth="1"/>
    <x:col min="4" max="4" width="13" hidden="0" customWidth="1"/>
    <x:col min="5" max="5" width="13" hidden="0" customWidth="1"/>
    <x:col min="6" max="6" width="16" hidden="0" customWidth="1"/>
    <x:col min="7" max="7" width="13" hidden="0" customWidth="1"/>
    <x:col min="8" max="8" width="11" hidden="0" customWidth="1"/>
    <x:col min="9" max="9" width="12" hidden="0" customWidth="1"/>
    <x:col min="10" max="10" width="11" hidden="0" customWidth="1"/>
    <x:col min="11" max="11" width="12" hidden="0" customWidth="1"/>
    <x:col min="12" max="12" width="12" hidden="0" customWidth="1"/>
    <x:col min="13" max="13" width="13" hidden="0" customWidth="1"/>
    <x:col min="14" max="14" width="12" hidden="0" customWidth="1"/>
    <x:col min="15" max="15" width="10" hidden="0" customWidth="1"/>
    <x:col min="16" max="16" width="14" hidden="0" customWidth="1"/>
    <x:col min="17" max="17" width="14" hidden="0" customWidth="1"/>
    <x:col min="18" max="18" width="12" hidden="0" customWidth="1"/>
    <x:col min="19" max="19" width="10" hidden="0" customWidth="1"/>
    <x:col min="20" max="20" width="12" hidden="0" customWidth="1"/>
    <x:col min="21" max="21" width="30" hidden="0" customWidth="1"/>
  </x:cols>
  <x:sheetData>
    <x:row r="1" ht="22" customHeight="1">
      <x:c r="A1" s="152" t="str">
        <x:v>THÔNG TIN</x:v>
      </x:c>
      <x:c r="B1" s="152"/>
      <x:c r="C1" s="152"/>
      <x:c r="D1" s="153" t="str">
        <x:v>DOANH THU</x:v>
      </x:c>
      <x:c r="E1" s="153"/>
      <x:c r="F1" s="153"/>
      <x:c r="G1" s="154" t="str">
        <x:v>CHI PHÍ SHOP NHẬP</x:v>
      </x:c>
      <x:c r="H1" s="154"/>
      <x:c r="I1" s="154"/>
      <x:c r="J1" s="154"/>
      <x:c r="K1" s="155" t="str">
        <x:v>PHÍ SÀN / HOA HỒNG SHOPEE</x:v>
      </x:c>
      <x:c r="L1" s="155"/>
      <x:c r="M1" s="155"/>
      <x:c r="N1" s="155"/>
      <x:c r="O1" s="155"/>
      <x:c r="P1" s="155"/>
      <x:c r="Q1" s="152" t="str">
        <x:v>TỔNG CHI PHÍ</x:v>
      </x:c>
      <x:c r="R1" s="156" t="str">
        <x:v>KẾT QUẢ</x:v>
      </x:c>
      <x:c r="S1" s="156"/>
      <x:c r="T1" s="156"/>
      <x:c r="U1" s="156"/>
    </x:row>
    <x:row r="2" ht="36" customHeight="1">
      <x:c r="A2" s="139" t="str">
        <x:v>Ngày</x:v>
      </x:c>
      <x:c r="B2" s="139" t="str">
        <x:v>Sản phẩm</x:v>
      </x:c>
      <x:c r="C2" s="139" t="str">
        <x:v>Shop</x:v>
      </x:c>
      <x:c r="D2" s="142" t="str">
        <x:v>Giá bán</x:v>
      </x:c>
      <x:c r="E2" s="142" t="str">
        <x:v>Voucher shop</x:v>
      </x:c>
      <x:c r="F2" s="142" t="str">
        <x:v>Doanh thu sau
voucher</x:v>
      </x:c>
      <x:c r="G2" s="145" t="str">
        <x:v>CP sản phẩm</x:v>
      </x:c>
      <x:c r="H2" s="145" t="str">
        <x:v>Affiliate %</x:v>
      </x:c>
      <x:c r="I2" s="145" t="str">
        <x:v>Ads/order</x:v>
      </x:c>
      <x:c r="J2" s="145" t="str">
        <x:v>Ship/khác</x:v>
      </x:c>
      <x:c r="K2" s="148" t="str">
        <x:v>% HH Shop
thường</x:v>
      </x:c>
      <x:c r="L2" s="148" t="str">
        <x:v>% HH Shop Mall</x:v>
      </x:c>
      <x:c r="M2" s="148" t="str">
        <x:v>Phí HH áp dụng</x:v>
      </x:c>
      <x:c r="N2" s="148" t="str">
        <x:v>Phí giao dịch</x:v>
      </x:c>
      <x:c r="O2" s="148" t="str">
        <x:v>Phí xử lý</x:v>
      </x:c>
      <x:c r="P2" s="148" t="str">
        <x:v>Tổng phí Shopee</x:v>
      </x:c>
      <x:c r="Q2" s="139" t="str">
        <x:v>TỔNG CHI PHÍ</x:v>
      </x:c>
      <x:c r="R2" s="151" t="str">
        <x:v>Lãi ròng</x:v>
      </x:c>
      <x:c r="S2" s="151" t="str">
        <x:v>Biên LN</x:v>
      </x:c>
      <x:c r="T2" s="151" t="str">
        <x:v>Cảnh báo</x:v>
      </x:c>
      <x:c r="U2" s="151" t="str">
        <x:v>Ghi chú</x:v>
      </x:c>
    </x:row>
    <x:row r="3" ht="22" customHeight="1">
      <x:c r="A3" s="169" t="n">
        <x:v>46206</x:v>
      </x:c>
      <x:c r="B3" s="170" t="str">
        <x:v>HC001 | Metacare Colostrum 0+ 400g</x:v>
      </x:c>
      <x:c r="C3" s="171" t="str">
        <x:v>Marketplace</x:v>
      </x:c>
      <x:c r="D3" s="172" t="n">
        <x:f>IFERROR(VLOOKUP($B3,DATA!$A$2:$P$200,11,FALSE),"")</x:f>
        <x:v>315000</x:v>
      </x:c>
      <x:c r="E3" s="172" t="n">
        <x:v>20000</x:v>
      </x:c>
      <x:c r="F3" s="174" t="n">
        <x:f>IF($B3="","",MAX(0,$D3-$E3))</x:f>
        <x:v>295000</x:v>
      </x:c>
      <x:c r="G3" s="161" t="n">
        <x:f>IFERROR(VLOOKUP($B3,DATA!$A$2:$P$200,14,FALSE),"")</x:f>
        <x:v>225500</x:v>
      </x:c>
      <x:c r="H3" s="173" t="n">
        <x:v>0</x:v>
      </x:c>
      <x:c r="I3" s="172" t="n">
        <x:v>0</x:v>
      </x:c>
      <x:c r="J3" s="172" t="n">
        <x:v>0</x:v>
      </x:c>
      <x:c r="K3" s="163" t="n">
        <x:f>IFERROR(VLOOKUP($B3,DATA!$A$2:$P$200,8,FALSE),"")</x:f>
        <x:v>0.11</x:v>
      </x:c>
      <x:c r="L3" s="163" t="n">
        <x:f>IFERROR(VLOOKUP($B3,DATA!$A$2:$P$200,9,FALSE),"")</x:f>
        <x:v>0.125</x:v>
      </x:c>
      <x:c r="M3" s="175" t="n">
        <x:f>IF($B3="","",IF($C3="Mall",$F3*$L3,$F3*$K3))</x:f>
        <x:v>32450</x:v>
      </x:c>
      <x:c r="N3" s="175" t="n">
        <x:f>IF($B3="","",$F3*SETTINGS!$B$2)</x:f>
        <x:v>17700</x:v>
      </x:c>
      <x:c r="O3" s="175" t="n">
        <x:f>IF($B3="","",SETTINGS!$B$3)</x:f>
        <x:v>3000</x:v>
      </x:c>
      <x:c r="P3" s="175" t="n">
        <x:f>IF($B3="","",SUM($M3:$O3))</x:f>
        <x:v>53150</x:v>
      </x:c>
      <x:c r="Q3" s="180" t="n">
        <x:f>IF($B3="","",$G3+($F3*$H3)+$I3+$J3+$P3)</x:f>
        <x:v>278650</x:v>
      </x:c>
      <x:c r="R3" s="177" t="n">
        <x:f>IF($B3="","",$F3-$Q3)</x:f>
        <x:v>16350</x:v>
      </x:c>
      <x:c r="S3" s="178" t="n">
        <x:f>IF($B3="","",IFERROR($R3/$F3,0))</x:f>
        <x:v>0.05542372881355932</x:v>
      </x:c>
      <x:c r="T3" s="181" t="str">
        <x:f>IF($B3="","",IF($R3&lt;0,"LỖ",IF($S3&lt;SETTINGS!$B$5,"LÃI THẤP",IF($S3&gt;=0.2,"TỐT","ỔN"))))</x:f>
        <x:v>LÃI THẤP</x:v>
      </x:c>
      <x:c r="U3" s="182" t="str">
        <x:f>IFERROR(VLOOKUP($B3,DATA!$A$2:$P$200,16,FALSE),"")</x:f>
        <x:v>0-12 tháng: nhạy cảm khi live/ads/voucher</x:v>
      </x:c>
    </x:row>
    <x:row r="4" ht="22" customHeight="1">
      <x:c r="A4" s="169" t="n">
        <x:v>46206</x:v>
      </x:c>
      <x:c r="B4" s="170" t="str">
        <x:v>HC008 | Metacare Opti Lactoferrin 110ml - thùng 24 hộp</x:v>
      </x:c>
      <x:c r="C4" s="171" t="str">
        <x:v>Marketplace</x:v>
      </x:c>
      <x:c r="D4" s="172" t="n">
        <x:f>IFERROR(VLOOKUP($B4,DATA!$A$2:$P$200,11,FALSE),"")</x:f>
        <x:v>288000</x:v>
      </x:c>
      <x:c r="E4" s="172" t="n">
        <x:v>10000</x:v>
      </x:c>
      <x:c r="F4" s="174" t="n">
        <x:f>IF($B4="","",MAX(0,$D4-$E4))</x:f>
        <x:v>278000</x:v>
      </x:c>
      <x:c r="G4" s="161" t="n">
        <x:f>IFERROR(VLOOKUP($B4,DATA!$A$2:$P$200,14,FALSE),"")</x:f>
        <x:v>206600</x:v>
      </x:c>
      <x:c r="H4" s="173" t="n">
        <x:v>0.05</x:v>
      </x:c>
      <x:c r="I4" s="172" t="n">
        <x:v>15000</x:v>
      </x:c>
      <x:c r="J4" s="172" t="n">
        <x:v>0</x:v>
      </x:c>
      <x:c r="K4" s="163" t="n">
        <x:f>IFERROR(VLOOKUP($B4,DATA!$A$2:$P$200,8,FALSE),"")</x:f>
        <x:v>0.115</x:v>
      </x:c>
      <x:c r="L4" s="163" t="n">
        <x:f>IFERROR(VLOOKUP($B4,DATA!$A$2:$P$200,9,FALSE),"")</x:f>
        <x:v>0.145</x:v>
      </x:c>
      <x:c r="M4" s="175" t="n">
        <x:f>IF($B4="","",IF($C4="Mall",$F4*$L4,$F4*$K4))</x:f>
        <x:v>31970</x:v>
      </x:c>
      <x:c r="N4" s="175" t="n">
        <x:f>IF($B4="","",$F4*SETTINGS!$B$2)</x:f>
        <x:v>16680</x:v>
      </x:c>
      <x:c r="O4" s="175" t="n">
        <x:f>IF($B4="","",SETTINGS!$B$3)</x:f>
        <x:v>3000</x:v>
      </x:c>
      <x:c r="P4" s="175" t="n">
        <x:f>IF($B4="","",SUM($M4:$O4))</x:f>
        <x:v>51650</x:v>
      </x:c>
      <x:c r="Q4" s="180" t="n">
        <x:f>IF($B4="","",$G4+($F4*$H4)+$I4+$J4+$P4)</x:f>
        <x:v>287150</x:v>
      </x:c>
      <x:c r="R4" s="177" t="n">
        <x:f>IF($B4="","",$F4-$Q4)</x:f>
        <x:v>-9150</x:v>
      </x:c>
      <x:c r="S4" s="178" t="n">
        <x:f>IF($B4="","",IFERROR($R4/$F4,0))</x:f>
        <x:v>-0.0329136690647482</x:v>
      </x:c>
      <x:c r="T4" s="181" t="str">
        <x:f>IF($B4="","",IF($R4&lt;0,"LỖ",IF($S4&lt;SETTINGS!$B$5,"LÃI THẤP",IF($S4&gt;=0.2,"TỐT","ỔN"))))</x:f>
        <x:v>LỖ</x:v>
      </x:c>
      <x:c r="U4" s="182" t="str">
        <x:f>IFERROR(VLOOKUP($B4,DATA!$A$2:$P$200,16,FALSE),"")</x:f>
        <x:v>Từ 1 tuổi</x:v>
      </x:c>
    </x:row>
    <x:row r="5" ht="22" customHeight="1">
      <x:c r="A5" s="169" t="n">
        <x:v>46206</x:v>
      </x:c>
      <x:c r="B5" s="170" t="str">
        <x:v>HC023 | Nutricare Gold 850g</x:v>
      </x:c>
      <x:c r="C5" s="171" t="str">
        <x:v>Mall</x:v>
      </x:c>
      <x:c r="D5" s="172" t="n">
        <x:f>IFERROR(VLOOKUP($B5,DATA!$A$2:$P$200,11,FALSE),"")</x:f>
        <x:v>521000</x:v>
      </x:c>
      <x:c r="E5" s="172" t="n">
        <x:v>20000</x:v>
      </x:c>
      <x:c r="F5" s="174" t="n">
        <x:f>IF($B5="","",MAX(0,$D5-$E5))</x:f>
        <x:v>501000</x:v>
      </x:c>
      <x:c r="G5" s="161" t="n">
        <x:f>IFERROR(VLOOKUP($B5,DATA!$A$2:$P$200,14,FALSE),"")</x:f>
        <x:v>370700</x:v>
      </x:c>
      <x:c r="H5" s="173" t="n">
        <x:v>0.08</x:v>
      </x:c>
      <x:c r="I5" s="172" t="n">
        <x:v>20000</x:v>
      </x:c>
      <x:c r="J5" s="172" t="n">
        <x:v>5000</x:v>
      </x:c>
      <x:c r="K5" s="163" t="n">
        <x:f>IFERROR(VLOOKUP($B5,DATA!$A$2:$P$200,8,FALSE),"")</x:f>
        <x:v>0.17</x:v>
      </x:c>
      <x:c r="L5" s="163" t="n">
        <x:f>IFERROR(VLOOKUP($B5,DATA!$A$2:$P$200,9,FALSE),"")</x:f>
        <x:v>0.19</x:v>
      </x:c>
      <x:c r="M5" s="175" t="n">
        <x:f>IF($B5="","",IF($C5="Mall",$F5*$L5,$F5*$K5))</x:f>
        <x:v>95190</x:v>
      </x:c>
      <x:c r="N5" s="175" t="n">
        <x:f>IF($B5="","",$F5*SETTINGS!$B$2)</x:f>
        <x:v>30060</x:v>
      </x:c>
      <x:c r="O5" s="175" t="n">
        <x:f>IF($B5="","",SETTINGS!$B$3)</x:f>
        <x:v>3000</x:v>
      </x:c>
      <x:c r="P5" s="175" t="n">
        <x:f>IF($B5="","",SUM($M5:$O5))</x:f>
        <x:v>128250</x:v>
      </x:c>
      <x:c r="Q5" s="180" t="n">
        <x:f>IF($B5="","",$G5+($F5*$H5)+$I5+$J5+$P5)</x:f>
        <x:v>564030</x:v>
      </x:c>
      <x:c r="R5" s="177" t="n">
        <x:f>IF($B5="","",$F5-$Q5)</x:f>
        <x:v>-63030</x:v>
      </x:c>
      <x:c r="S5" s="178" t="n">
        <x:f>IF($B5="","",IFERROR($R5/$F5,0))</x:f>
        <x:v>-0.12580838323353294</x:v>
      </x:c>
      <x:c r="T5" s="181" t="str">
        <x:f>IF($B5="","",IF($R5&lt;0,"LỖ",IF($S5&lt;SETTINGS!$B$5,"LÃI THẤP",IF($S5&gt;=0.2,"TỐT","ỔN"))))</x:f>
        <x:v>LỖ</x:v>
      </x:c>
      <x:c r="U5" s="182" t="str">
        <x:f>IFERROR(VLOOKUP($B5,DATA!$A$2:$P$200,16,FALSE),"")</x:f>
        <x:v>Người lớn/dinh dưỡng y học: kiểm soát claim</x:v>
      </x:c>
    </x:row>
    <x:row r="6" ht="22" customHeight="1">
      <x:c r="A6" s="169"/>
      <x:c r="B6" s="170"/>
      <x:c r="C6" s="171" t="str">
        <x:v>Marketplace</x:v>
      </x:c>
      <x:c r="D6" s="172" t="str">
        <x:f>IFERROR(VLOOKUP($B6,DATA!$A$2:$P$200,11,FALSE),"")</x:f>
      </x:c>
      <x:c r="E6" s="172" t="n">
        <x:v>0</x:v>
      </x:c>
      <x:c r="F6" s="174" t="str">
        <x:f>IF($B6="","",MAX(0,$D6-$E6))</x:f>
      </x:c>
      <x:c r="G6" s="161" t="str">
        <x:f>IFERROR(VLOOKUP($B6,DATA!$A$2:$P$200,14,FALSE),"")</x:f>
      </x:c>
      <x:c r="H6" s="173" t="n">
        <x:v>0</x:v>
      </x:c>
      <x:c r="I6" s="172" t="n">
        <x:v>0</x:v>
      </x:c>
      <x:c r="J6" s="172" t="n">
        <x:v>0</x:v>
      </x:c>
      <x:c r="K6" s="163" t="str">
        <x:f>IFERROR(VLOOKUP($B6,DATA!$A$2:$P$200,8,FALSE),"")</x:f>
      </x:c>
      <x:c r="L6" s="163" t="str">
        <x:f>IFERROR(VLOOKUP($B6,DATA!$A$2:$P$200,9,FALSE),"")</x:f>
      </x:c>
      <x:c r="M6" s="175" t="str">
        <x:f>IF($B6="","",IF($C6="Mall",$F6*$L6,$F6*$K6))</x:f>
      </x:c>
      <x:c r="N6" s="175" t="str">
        <x:f>IF($B6="","",$F6*SETTINGS!$B$2)</x:f>
      </x:c>
      <x:c r="O6" s="175" t="str">
        <x:f>IF($B6="","",SETTINGS!$B$3)</x:f>
      </x:c>
      <x:c r="P6" s="175" t="str">
        <x:f>IF($B6="","",SUM($M6:$O6))</x:f>
      </x:c>
      <x:c r="Q6" s="180" t="str">
        <x:f>IF($B6="","",$G6+($F6*$H6)+$I6+$J6+$P6)</x:f>
      </x:c>
      <x:c r="R6" s="177" t="str">
        <x:f>IF($B6="","",$F6-$Q6)</x:f>
      </x:c>
      <x:c r="S6" s="178" t="str">
        <x:f>IF($B6="","",IFERROR($R6/$F6,0))</x:f>
      </x:c>
      <x:c r="T6" s="181" t="str">
        <x:f>IF($B6="","",IF($R6&lt;0,"LỖ",IF($S6&lt;SETTINGS!$B$5,"LÃI THẤP",IF($S6&gt;=0.2,"TỐT","ỔN"))))</x:f>
      </x:c>
      <x:c r="U6" s="182" t="str">
        <x:f>IFERROR(VLOOKUP($B6,DATA!$A$2:$P$200,16,FALSE),"")</x:f>
      </x:c>
    </x:row>
    <x:row r="7" ht="22" customHeight="1">
      <x:c r="A7" s="169"/>
      <x:c r="B7" s="170"/>
      <x:c r="C7" s="171" t="str">
        <x:v>Marketplace</x:v>
      </x:c>
      <x:c r="D7" s="172" t="str">
        <x:f>IFERROR(VLOOKUP($B7,DATA!$A$2:$P$200,11,FALSE),"")</x:f>
      </x:c>
      <x:c r="E7" s="172" t="n">
        <x:v>0</x:v>
      </x:c>
      <x:c r="F7" s="174" t="str">
        <x:f>IF($B7="","",MAX(0,$D7-$E7))</x:f>
      </x:c>
      <x:c r="G7" s="161" t="str">
        <x:f>IFERROR(VLOOKUP($B7,DATA!$A$2:$P$200,14,FALSE),"")</x:f>
      </x:c>
      <x:c r="H7" s="173" t="n">
        <x:v>0</x:v>
      </x:c>
      <x:c r="I7" s="172" t="n">
        <x:v>0</x:v>
      </x:c>
      <x:c r="J7" s="172" t="n">
        <x:v>0</x:v>
      </x:c>
      <x:c r="K7" s="163" t="str">
        <x:f>IFERROR(VLOOKUP($B7,DATA!$A$2:$P$200,8,FALSE),"")</x:f>
      </x:c>
      <x:c r="L7" s="163" t="str">
        <x:f>IFERROR(VLOOKUP($B7,DATA!$A$2:$P$200,9,FALSE),"")</x:f>
      </x:c>
      <x:c r="M7" s="175" t="str">
        <x:f>IF($B7="","",IF($C7="Mall",$F7*$L7,$F7*$K7))</x:f>
      </x:c>
      <x:c r="N7" s="175" t="str">
        <x:f>IF($B7="","",$F7*SETTINGS!$B$2)</x:f>
      </x:c>
      <x:c r="O7" s="175" t="str">
        <x:f>IF($B7="","",SETTINGS!$B$3)</x:f>
      </x:c>
      <x:c r="P7" s="175" t="str">
        <x:f>IF($B7="","",SUM($M7:$O7))</x:f>
      </x:c>
      <x:c r="Q7" s="180" t="str">
        <x:f>IF($B7="","",$G7+($F7*$H7)+$I7+$J7+$P7)</x:f>
      </x:c>
      <x:c r="R7" s="177" t="str">
        <x:f>IF($B7="","",$F7-$Q7)</x:f>
      </x:c>
      <x:c r="S7" s="178" t="str">
        <x:f>IF($B7="","",IFERROR($R7/$F7,0))</x:f>
      </x:c>
      <x:c r="T7" s="181" t="str">
        <x:f>IF($B7="","",IF($R7&lt;0,"LỖ",IF($S7&lt;SETTINGS!$B$5,"LÃI THẤP",IF($S7&gt;=0.2,"TỐT","ỔN"))))</x:f>
      </x:c>
      <x:c r="U7" s="182" t="str">
        <x:f>IFERROR(VLOOKUP($B7,DATA!$A$2:$P$200,16,FALSE),"")</x:f>
      </x:c>
    </x:row>
    <x:row r="8" ht="22" customHeight="1">
      <x:c r="A8" s="169"/>
      <x:c r="B8" s="170"/>
      <x:c r="C8" s="171" t="str">
        <x:v>Marketplace</x:v>
      </x:c>
      <x:c r="D8" s="172" t="str">
        <x:f>IFERROR(VLOOKUP($B8,DATA!$A$2:$P$200,11,FALSE),"")</x:f>
      </x:c>
      <x:c r="E8" s="172" t="n">
        <x:v>0</x:v>
      </x:c>
      <x:c r="F8" s="174" t="str">
        <x:f>IF($B8="","",MAX(0,$D8-$E8))</x:f>
      </x:c>
      <x:c r="G8" s="161" t="str">
        <x:f>IFERROR(VLOOKUP($B8,DATA!$A$2:$P$200,14,FALSE),"")</x:f>
      </x:c>
      <x:c r="H8" s="173" t="n">
        <x:v>0</x:v>
      </x:c>
      <x:c r="I8" s="172" t="n">
        <x:v>0</x:v>
      </x:c>
      <x:c r="J8" s="172" t="n">
        <x:v>0</x:v>
      </x:c>
      <x:c r="K8" s="163" t="str">
        <x:f>IFERROR(VLOOKUP($B8,DATA!$A$2:$P$200,8,FALSE),"")</x:f>
      </x:c>
      <x:c r="L8" s="163" t="str">
        <x:f>IFERROR(VLOOKUP($B8,DATA!$A$2:$P$200,9,FALSE),"")</x:f>
      </x:c>
      <x:c r="M8" s="175" t="str">
        <x:f>IF($B8="","",IF($C8="Mall",$F8*$L8,$F8*$K8))</x:f>
      </x:c>
      <x:c r="N8" s="175" t="str">
        <x:f>IF($B8="","",$F8*SETTINGS!$B$2)</x:f>
      </x:c>
      <x:c r="O8" s="175" t="str">
        <x:f>IF($B8="","",SETTINGS!$B$3)</x:f>
      </x:c>
      <x:c r="P8" s="175" t="str">
        <x:f>IF($B8="","",SUM($M8:$O8))</x:f>
      </x:c>
      <x:c r="Q8" s="180" t="str">
        <x:f>IF($B8="","",$G8+($F8*$H8)+$I8+$J8+$P8)</x:f>
      </x:c>
      <x:c r="R8" s="177" t="str">
        <x:f>IF($B8="","",$F8-$Q8)</x:f>
      </x:c>
      <x:c r="S8" s="178" t="str">
        <x:f>IF($B8="","",IFERROR($R8/$F8,0))</x:f>
      </x:c>
      <x:c r="T8" s="181" t="str">
        <x:f>IF($B8="","",IF($R8&lt;0,"LỖ",IF($S8&lt;SETTINGS!$B$5,"LÃI THẤP",IF($S8&gt;=0.2,"TỐT","ỔN"))))</x:f>
      </x:c>
      <x:c r="U8" s="182" t="str">
        <x:f>IFERROR(VLOOKUP($B8,DATA!$A$2:$P$200,16,FALSE),"")</x:f>
      </x:c>
    </x:row>
    <x:row r="9" ht="22" customHeight="1">
      <x:c r="A9" s="169"/>
      <x:c r="B9" s="170"/>
      <x:c r="C9" s="171" t="str">
        <x:v>Marketplace</x:v>
      </x:c>
      <x:c r="D9" s="172" t="str">
        <x:f>IFERROR(VLOOKUP($B9,DATA!$A$2:$P$200,11,FALSE),"")</x:f>
      </x:c>
      <x:c r="E9" s="172" t="n">
        <x:v>0</x:v>
      </x:c>
      <x:c r="F9" s="174" t="str">
        <x:f>IF($B9="","",MAX(0,$D9-$E9))</x:f>
      </x:c>
      <x:c r="G9" s="161" t="str">
        <x:f>IFERROR(VLOOKUP($B9,DATA!$A$2:$P$200,14,FALSE),"")</x:f>
      </x:c>
      <x:c r="H9" s="173" t="n">
        <x:v>0</x:v>
      </x:c>
      <x:c r="I9" s="172" t="n">
        <x:v>0</x:v>
      </x:c>
      <x:c r="J9" s="172" t="n">
        <x:v>0</x:v>
      </x:c>
      <x:c r="K9" s="163" t="str">
        <x:f>IFERROR(VLOOKUP($B9,DATA!$A$2:$P$200,8,FALSE),"")</x:f>
      </x:c>
      <x:c r="L9" s="163" t="str">
        <x:f>IFERROR(VLOOKUP($B9,DATA!$A$2:$P$200,9,FALSE),"")</x:f>
      </x:c>
      <x:c r="M9" s="175" t="str">
        <x:f>IF($B9="","",IF($C9="Mall",$F9*$L9,$F9*$K9))</x:f>
      </x:c>
      <x:c r="N9" s="175" t="str">
        <x:f>IF($B9="","",$F9*SETTINGS!$B$2)</x:f>
      </x:c>
      <x:c r="O9" s="175" t="str">
        <x:f>IF($B9="","",SETTINGS!$B$3)</x:f>
      </x:c>
      <x:c r="P9" s="175" t="str">
        <x:f>IF($B9="","",SUM($M9:$O9))</x:f>
      </x:c>
      <x:c r="Q9" s="180" t="str">
        <x:f>IF($B9="","",$G9+($F9*$H9)+$I9+$J9+$P9)</x:f>
      </x:c>
      <x:c r="R9" s="177" t="str">
        <x:f>IF($B9="","",$F9-$Q9)</x:f>
      </x:c>
      <x:c r="S9" s="178" t="str">
        <x:f>IF($B9="","",IFERROR($R9/$F9,0))</x:f>
      </x:c>
      <x:c r="T9" s="181" t="str">
        <x:f>IF($B9="","",IF($R9&lt;0,"LỖ",IF($S9&lt;SETTINGS!$B$5,"LÃI THẤP",IF($S9&gt;=0.2,"TỐT","ỔN"))))</x:f>
      </x:c>
      <x:c r="U9" s="182" t="str">
        <x:f>IFERROR(VLOOKUP($B9,DATA!$A$2:$P$200,16,FALSE),"")</x:f>
      </x:c>
    </x:row>
    <x:row r="10" ht="22" customHeight="1">
      <x:c r="A10" s="169"/>
      <x:c r="B10" s="170"/>
      <x:c r="C10" s="171" t="str">
        <x:v>Marketplace</x:v>
      </x:c>
      <x:c r="D10" s="172" t="str">
        <x:f>IFERROR(VLOOKUP($B10,DATA!$A$2:$P$200,11,FALSE),"")</x:f>
      </x:c>
      <x:c r="E10" s="172" t="n">
        <x:v>0</x:v>
      </x:c>
      <x:c r="F10" s="174" t="str">
        <x:f>IF($B10="","",MAX(0,$D10-$E10))</x:f>
      </x:c>
      <x:c r="G10" s="161" t="str">
        <x:f>IFERROR(VLOOKUP($B10,DATA!$A$2:$P$200,14,FALSE),"")</x:f>
      </x:c>
      <x:c r="H10" s="173" t="n">
        <x:v>0</x:v>
      </x:c>
      <x:c r="I10" s="172" t="n">
        <x:v>0</x:v>
      </x:c>
      <x:c r="J10" s="172" t="n">
        <x:v>0</x:v>
      </x:c>
      <x:c r="K10" s="163" t="str">
        <x:f>IFERROR(VLOOKUP($B10,DATA!$A$2:$P$200,8,FALSE),"")</x:f>
      </x:c>
      <x:c r="L10" s="163" t="str">
        <x:f>IFERROR(VLOOKUP($B10,DATA!$A$2:$P$200,9,FALSE),"")</x:f>
      </x:c>
      <x:c r="M10" s="175" t="str">
        <x:f>IF($B10="","",IF($C10="Mall",$F10*$L10,$F10*$K10))</x:f>
      </x:c>
      <x:c r="N10" s="175" t="str">
        <x:f>IF($B10="","",$F10*SETTINGS!$B$2)</x:f>
      </x:c>
      <x:c r="O10" s="175" t="str">
        <x:f>IF($B10="","",SETTINGS!$B$3)</x:f>
      </x:c>
      <x:c r="P10" s="175" t="str">
        <x:f>IF($B10="","",SUM($M10:$O10))</x:f>
      </x:c>
      <x:c r="Q10" s="180" t="str">
        <x:f>IF($B10="","",$G10+($F10*$H10)+$I10+$J10+$P10)</x:f>
      </x:c>
      <x:c r="R10" s="177" t="str">
        <x:f>IF($B10="","",$F10-$Q10)</x:f>
      </x:c>
      <x:c r="S10" s="178" t="str">
        <x:f>IF($B10="","",IFERROR($R10/$F10,0))</x:f>
      </x:c>
      <x:c r="T10" s="181" t="str">
        <x:f>IF($B10="","",IF($R10&lt;0,"LỖ",IF($S10&lt;SETTINGS!$B$5,"LÃI THẤP",IF($S10&gt;=0.2,"TỐT","ỔN"))))</x:f>
      </x:c>
      <x:c r="U10" s="182" t="str">
        <x:f>IFERROR(VLOOKUP($B10,DATA!$A$2:$P$200,16,FALSE),"")</x:f>
      </x:c>
    </x:row>
    <x:row r="11" ht="22" customHeight="1">
      <x:c r="A11" s="169"/>
      <x:c r="B11" s="170"/>
      <x:c r="C11" s="171" t="str">
        <x:v>Marketplace</x:v>
      </x:c>
      <x:c r="D11" s="172" t="str">
        <x:f>IFERROR(VLOOKUP($B11,DATA!$A$2:$P$200,11,FALSE),"")</x:f>
      </x:c>
      <x:c r="E11" s="172" t="n">
        <x:v>0</x:v>
      </x:c>
      <x:c r="F11" s="174" t="str">
        <x:f>IF($B11="","",MAX(0,$D11-$E11))</x:f>
      </x:c>
      <x:c r="G11" s="161" t="str">
        <x:f>IFERROR(VLOOKUP($B11,DATA!$A$2:$P$200,14,FALSE),"")</x:f>
      </x:c>
      <x:c r="H11" s="173" t="n">
        <x:v>0</x:v>
      </x:c>
      <x:c r="I11" s="172" t="n">
        <x:v>0</x:v>
      </x:c>
      <x:c r="J11" s="172" t="n">
        <x:v>0</x:v>
      </x:c>
      <x:c r="K11" s="163" t="str">
        <x:f>IFERROR(VLOOKUP($B11,DATA!$A$2:$P$200,8,FALSE),"")</x:f>
      </x:c>
      <x:c r="L11" s="163" t="str">
        <x:f>IFERROR(VLOOKUP($B11,DATA!$A$2:$P$200,9,FALSE),"")</x:f>
      </x:c>
      <x:c r="M11" s="175" t="str">
        <x:f>IF($B11="","",IF($C11="Mall",$F11*$L11,$F11*$K11))</x:f>
      </x:c>
      <x:c r="N11" s="175" t="str">
        <x:f>IF($B11="","",$F11*SETTINGS!$B$2)</x:f>
      </x:c>
      <x:c r="O11" s="175" t="str">
        <x:f>IF($B11="","",SETTINGS!$B$3)</x:f>
      </x:c>
      <x:c r="P11" s="175" t="str">
        <x:f>IF($B11="","",SUM($M11:$O11))</x:f>
      </x:c>
      <x:c r="Q11" s="180" t="str">
        <x:f>IF($B11="","",$G11+($F11*$H11)+$I11+$J11+$P11)</x:f>
      </x:c>
      <x:c r="R11" s="177" t="str">
        <x:f>IF($B11="","",$F11-$Q11)</x:f>
      </x:c>
      <x:c r="S11" s="178" t="str">
        <x:f>IF($B11="","",IFERROR($R11/$F11,0))</x:f>
      </x:c>
      <x:c r="T11" s="181" t="str">
        <x:f>IF($B11="","",IF($R11&lt;0,"LỖ",IF($S11&lt;SETTINGS!$B$5,"LÃI THẤP",IF($S11&gt;=0.2,"TỐT","ỔN"))))</x:f>
      </x:c>
      <x:c r="U11" s="182" t="str">
        <x:f>IFERROR(VLOOKUP($B11,DATA!$A$2:$P$200,16,FALSE),"")</x:f>
      </x:c>
    </x:row>
    <x:row r="12" ht="22" customHeight="1">
      <x:c r="A12" s="169"/>
      <x:c r="B12" s="170"/>
      <x:c r="C12" s="171" t="str">
        <x:v>Marketplace</x:v>
      </x:c>
      <x:c r="D12" s="172" t="str">
        <x:f>IFERROR(VLOOKUP($B12,DATA!$A$2:$P$200,11,FALSE),"")</x:f>
      </x:c>
      <x:c r="E12" s="172" t="n">
        <x:v>0</x:v>
      </x:c>
      <x:c r="F12" s="174" t="str">
        <x:f>IF($B12="","",MAX(0,$D12-$E12))</x:f>
      </x:c>
      <x:c r="G12" s="161" t="str">
        <x:f>IFERROR(VLOOKUP($B12,DATA!$A$2:$P$200,14,FALSE),"")</x:f>
      </x:c>
      <x:c r="H12" s="173" t="n">
        <x:v>0</x:v>
      </x:c>
      <x:c r="I12" s="172" t="n">
        <x:v>0</x:v>
      </x:c>
      <x:c r="J12" s="172" t="n">
        <x:v>0</x:v>
      </x:c>
      <x:c r="K12" s="163" t="str">
        <x:f>IFERROR(VLOOKUP($B12,DATA!$A$2:$P$200,8,FALSE),"")</x:f>
      </x:c>
      <x:c r="L12" s="163" t="str">
        <x:f>IFERROR(VLOOKUP($B12,DATA!$A$2:$P$200,9,FALSE),"")</x:f>
      </x:c>
      <x:c r="M12" s="175" t="str">
        <x:f>IF($B12="","",IF($C12="Mall",$F12*$L12,$F12*$K12))</x:f>
      </x:c>
      <x:c r="N12" s="175" t="str">
        <x:f>IF($B12="","",$F12*SETTINGS!$B$2)</x:f>
      </x:c>
      <x:c r="O12" s="175" t="str">
        <x:f>IF($B12="","",SETTINGS!$B$3)</x:f>
      </x:c>
      <x:c r="P12" s="175" t="str">
        <x:f>IF($B12="","",SUM($M12:$O12))</x:f>
      </x:c>
      <x:c r="Q12" s="180" t="str">
        <x:f>IF($B12="","",$G12+($F12*$H12)+$I12+$J12+$P12)</x:f>
      </x:c>
      <x:c r="R12" s="177" t="str">
        <x:f>IF($B12="","",$F12-$Q12)</x:f>
      </x:c>
      <x:c r="S12" s="178" t="str">
        <x:f>IF($B12="","",IFERROR($R12/$F12,0))</x:f>
      </x:c>
      <x:c r="T12" s="181" t="str">
        <x:f>IF($B12="","",IF($R12&lt;0,"LỖ",IF($S12&lt;SETTINGS!$B$5,"LÃI THẤP",IF($S12&gt;=0.2,"TỐT","ỔN"))))</x:f>
      </x:c>
      <x:c r="U12" s="182" t="str">
        <x:f>IFERROR(VLOOKUP($B12,DATA!$A$2:$P$200,16,FALSE),"")</x:f>
      </x:c>
    </x:row>
    <x:row r="13" ht="22" customHeight="1">
      <x:c r="A13" s="169"/>
      <x:c r="B13" s="170"/>
      <x:c r="C13" s="171" t="str">
        <x:v>Marketplace</x:v>
      </x:c>
      <x:c r="D13" s="172" t="str">
        <x:f>IFERROR(VLOOKUP($B13,DATA!$A$2:$P$200,11,FALSE),"")</x:f>
      </x:c>
      <x:c r="E13" s="172" t="n">
        <x:v>0</x:v>
      </x:c>
      <x:c r="F13" s="174" t="str">
        <x:f>IF($B13="","",MAX(0,$D13-$E13))</x:f>
      </x:c>
      <x:c r="G13" s="161" t="str">
        <x:f>IFERROR(VLOOKUP($B13,DATA!$A$2:$P$200,14,FALSE),"")</x:f>
      </x:c>
      <x:c r="H13" s="173" t="n">
        <x:v>0</x:v>
      </x:c>
      <x:c r="I13" s="172" t="n">
        <x:v>0</x:v>
      </x:c>
      <x:c r="J13" s="172" t="n">
        <x:v>0</x:v>
      </x:c>
      <x:c r="K13" s="163" t="str">
        <x:f>IFERROR(VLOOKUP($B13,DATA!$A$2:$P$200,8,FALSE),"")</x:f>
      </x:c>
      <x:c r="L13" s="163" t="str">
        <x:f>IFERROR(VLOOKUP($B13,DATA!$A$2:$P$200,9,FALSE),"")</x:f>
      </x:c>
      <x:c r="M13" s="175" t="str">
        <x:f>IF($B13="","",IF($C13="Mall",$F13*$L13,$F13*$K13))</x:f>
      </x:c>
      <x:c r="N13" s="175" t="str">
        <x:f>IF($B13="","",$F13*SETTINGS!$B$2)</x:f>
      </x:c>
      <x:c r="O13" s="175" t="str">
        <x:f>IF($B13="","",SETTINGS!$B$3)</x:f>
      </x:c>
      <x:c r="P13" s="175" t="str">
        <x:f>IF($B13="","",SUM($M13:$O13))</x:f>
      </x:c>
      <x:c r="Q13" s="180" t="str">
        <x:f>IF($B13="","",$G13+($F13*$H13)+$I13+$J13+$P13)</x:f>
      </x:c>
      <x:c r="R13" s="177" t="str">
        <x:f>IF($B13="","",$F13-$Q13)</x:f>
      </x:c>
      <x:c r="S13" s="178" t="str">
        <x:f>IF($B13="","",IFERROR($R13/$F13,0))</x:f>
      </x:c>
      <x:c r="T13" s="181" t="str">
        <x:f>IF($B13="","",IF($R13&lt;0,"LỖ",IF($S13&lt;SETTINGS!$B$5,"LÃI THẤP",IF($S13&gt;=0.2,"TỐT","ỔN"))))</x:f>
      </x:c>
      <x:c r="U13" s="182" t="str">
        <x:f>IFERROR(VLOOKUP($B13,DATA!$A$2:$P$200,16,FALSE),"")</x:f>
      </x:c>
    </x:row>
    <x:row r="14" ht="22" customHeight="1">
      <x:c r="A14" s="169"/>
      <x:c r="B14" s="170"/>
      <x:c r="C14" s="171" t="str">
        <x:v>Marketplace</x:v>
      </x:c>
      <x:c r="D14" s="172" t="str">
        <x:f>IFERROR(VLOOKUP($B14,DATA!$A$2:$P$200,11,FALSE),"")</x:f>
      </x:c>
      <x:c r="E14" s="172" t="n">
        <x:v>0</x:v>
      </x:c>
      <x:c r="F14" s="174" t="str">
        <x:f>IF($B14="","",MAX(0,$D14-$E14))</x:f>
      </x:c>
      <x:c r="G14" s="161" t="str">
        <x:f>IFERROR(VLOOKUP($B14,DATA!$A$2:$P$200,14,FALSE),"")</x:f>
      </x:c>
      <x:c r="H14" s="173" t="n">
        <x:v>0</x:v>
      </x:c>
      <x:c r="I14" s="172" t="n">
        <x:v>0</x:v>
      </x:c>
      <x:c r="J14" s="172" t="n">
        <x:v>0</x:v>
      </x:c>
      <x:c r="K14" s="163" t="str">
        <x:f>IFERROR(VLOOKUP($B14,DATA!$A$2:$P$200,8,FALSE),"")</x:f>
      </x:c>
      <x:c r="L14" s="163" t="str">
        <x:f>IFERROR(VLOOKUP($B14,DATA!$A$2:$P$200,9,FALSE),"")</x:f>
      </x:c>
      <x:c r="M14" s="175" t="str">
        <x:f>IF($B14="","",IF($C14="Mall",$F14*$L14,$F14*$K14))</x:f>
      </x:c>
      <x:c r="N14" s="175" t="str">
        <x:f>IF($B14="","",$F14*SETTINGS!$B$2)</x:f>
      </x:c>
      <x:c r="O14" s="175" t="str">
        <x:f>IF($B14="","",SETTINGS!$B$3)</x:f>
      </x:c>
      <x:c r="P14" s="175" t="str">
        <x:f>IF($B14="","",SUM($M14:$O14))</x:f>
      </x:c>
      <x:c r="Q14" s="180" t="str">
        <x:f>IF($B14="","",$G14+($F14*$H14)+$I14+$J14+$P14)</x:f>
      </x:c>
      <x:c r="R14" s="177" t="str">
        <x:f>IF($B14="","",$F14-$Q14)</x:f>
      </x:c>
      <x:c r="S14" s="178" t="str">
        <x:f>IF($B14="","",IFERROR($R14/$F14,0))</x:f>
      </x:c>
      <x:c r="T14" s="181" t="str">
        <x:f>IF($B14="","",IF($R14&lt;0,"LỖ",IF($S14&lt;SETTINGS!$B$5,"LÃI THẤP",IF($S14&gt;=0.2,"TỐT","ỔN"))))</x:f>
      </x:c>
      <x:c r="U14" s="182" t="str">
        <x:f>IFERROR(VLOOKUP($B14,DATA!$A$2:$P$200,16,FALSE),"")</x:f>
      </x:c>
    </x:row>
    <x:row r="15" ht="22" customHeight="1">
      <x:c r="A15" s="169"/>
      <x:c r="B15" s="170"/>
      <x:c r="C15" s="171" t="str">
        <x:v>Marketplace</x:v>
      </x:c>
      <x:c r="D15" s="172" t="str">
        <x:f>IFERROR(VLOOKUP($B15,DATA!$A$2:$P$200,11,FALSE),"")</x:f>
      </x:c>
      <x:c r="E15" s="172" t="n">
        <x:v>0</x:v>
      </x:c>
      <x:c r="F15" s="174" t="str">
        <x:f>IF($B15="","",MAX(0,$D15-$E15))</x:f>
      </x:c>
      <x:c r="G15" s="161" t="str">
        <x:f>IFERROR(VLOOKUP($B15,DATA!$A$2:$P$200,14,FALSE),"")</x:f>
      </x:c>
      <x:c r="H15" s="173" t="n">
        <x:v>0</x:v>
      </x:c>
      <x:c r="I15" s="172" t="n">
        <x:v>0</x:v>
      </x:c>
      <x:c r="J15" s="172" t="n">
        <x:v>0</x:v>
      </x:c>
      <x:c r="K15" s="163" t="str">
        <x:f>IFERROR(VLOOKUP($B15,DATA!$A$2:$P$200,8,FALSE),"")</x:f>
      </x:c>
      <x:c r="L15" s="163" t="str">
        <x:f>IFERROR(VLOOKUP($B15,DATA!$A$2:$P$200,9,FALSE),"")</x:f>
      </x:c>
      <x:c r="M15" s="175" t="str">
        <x:f>IF($B15="","",IF($C15="Mall",$F15*$L15,$F15*$K15))</x:f>
      </x:c>
      <x:c r="N15" s="175" t="str">
        <x:f>IF($B15="","",$F15*SETTINGS!$B$2)</x:f>
      </x:c>
      <x:c r="O15" s="175" t="str">
        <x:f>IF($B15="","",SETTINGS!$B$3)</x:f>
      </x:c>
      <x:c r="P15" s="175" t="str">
        <x:f>IF($B15="","",SUM($M15:$O15))</x:f>
      </x:c>
      <x:c r="Q15" s="180" t="str">
        <x:f>IF($B15="","",$G15+($F15*$H15)+$I15+$J15+$P15)</x:f>
      </x:c>
      <x:c r="R15" s="177" t="str">
        <x:f>IF($B15="","",$F15-$Q15)</x:f>
      </x:c>
      <x:c r="S15" s="178" t="str">
        <x:f>IF($B15="","",IFERROR($R15/$F15,0))</x:f>
      </x:c>
      <x:c r="T15" s="181" t="str">
        <x:f>IF($B15="","",IF($R15&lt;0,"LỖ",IF($S15&lt;SETTINGS!$B$5,"LÃI THẤP",IF($S15&gt;=0.2,"TỐT","ỔN"))))</x:f>
      </x:c>
      <x:c r="U15" s="182" t="str">
        <x:f>IFERROR(VLOOKUP($B15,DATA!$A$2:$P$200,16,FALSE),"")</x:f>
      </x:c>
    </x:row>
    <x:row r="16" ht="22" customHeight="1">
      <x:c r="A16" s="169"/>
      <x:c r="B16" s="170"/>
      <x:c r="C16" s="171" t="str">
        <x:v>Marketplace</x:v>
      </x:c>
      <x:c r="D16" s="172" t="str">
        <x:f>IFERROR(VLOOKUP($B16,DATA!$A$2:$P$200,11,FALSE),"")</x:f>
      </x:c>
      <x:c r="E16" s="172" t="n">
        <x:v>0</x:v>
      </x:c>
      <x:c r="F16" s="174" t="str">
        <x:f>IF($B16="","",MAX(0,$D16-$E16))</x:f>
      </x:c>
      <x:c r="G16" s="161" t="str">
        <x:f>IFERROR(VLOOKUP($B16,DATA!$A$2:$P$200,14,FALSE),"")</x:f>
      </x:c>
      <x:c r="H16" s="173" t="n">
        <x:v>0</x:v>
      </x:c>
      <x:c r="I16" s="172" t="n">
        <x:v>0</x:v>
      </x:c>
      <x:c r="J16" s="172" t="n">
        <x:v>0</x:v>
      </x:c>
      <x:c r="K16" s="163" t="str">
        <x:f>IFERROR(VLOOKUP($B16,DATA!$A$2:$P$200,8,FALSE),"")</x:f>
      </x:c>
      <x:c r="L16" s="163" t="str">
        <x:f>IFERROR(VLOOKUP($B16,DATA!$A$2:$P$200,9,FALSE),"")</x:f>
      </x:c>
      <x:c r="M16" s="175" t="str">
        <x:f>IF($B16="","",IF($C16="Mall",$F16*$L16,$F16*$K16))</x:f>
      </x:c>
      <x:c r="N16" s="175" t="str">
        <x:f>IF($B16="","",$F16*SETTINGS!$B$2)</x:f>
      </x:c>
      <x:c r="O16" s="175" t="str">
        <x:f>IF($B16="","",SETTINGS!$B$3)</x:f>
      </x:c>
      <x:c r="P16" s="175" t="str">
        <x:f>IF($B16="","",SUM($M16:$O16))</x:f>
      </x:c>
      <x:c r="Q16" s="180" t="str">
        <x:f>IF($B16="","",$G16+($F16*$H16)+$I16+$J16+$P16)</x:f>
      </x:c>
      <x:c r="R16" s="177" t="str">
        <x:f>IF($B16="","",$F16-$Q16)</x:f>
      </x:c>
      <x:c r="S16" s="178" t="str">
        <x:f>IF($B16="","",IFERROR($R16/$F16,0))</x:f>
      </x:c>
      <x:c r="T16" s="181" t="str">
        <x:f>IF($B16="","",IF($R16&lt;0,"LỖ",IF($S16&lt;SETTINGS!$B$5,"LÃI THẤP",IF($S16&gt;=0.2,"TỐT","ỔN"))))</x:f>
      </x:c>
      <x:c r="U16" s="182" t="str">
        <x:f>IFERROR(VLOOKUP($B16,DATA!$A$2:$P$200,16,FALSE),"")</x:f>
      </x:c>
    </x:row>
    <x:row r="17" ht="22" customHeight="1">
      <x:c r="A17" s="169"/>
      <x:c r="B17" s="170"/>
      <x:c r="C17" s="171" t="str">
        <x:v>Marketplace</x:v>
      </x:c>
      <x:c r="D17" s="172" t="str">
        <x:f>IFERROR(VLOOKUP($B17,DATA!$A$2:$P$200,11,FALSE),"")</x:f>
      </x:c>
      <x:c r="E17" s="172" t="n">
        <x:v>0</x:v>
      </x:c>
      <x:c r="F17" s="174" t="str">
        <x:f>IF($B17="","",MAX(0,$D17-$E17))</x:f>
      </x:c>
      <x:c r="G17" s="161" t="str">
        <x:f>IFERROR(VLOOKUP($B17,DATA!$A$2:$P$200,14,FALSE),"")</x:f>
      </x:c>
      <x:c r="H17" s="173" t="n">
        <x:v>0</x:v>
      </x:c>
      <x:c r="I17" s="172" t="n">
        <x:v>0</x:v>
      </x:c>
      <x:c r="J17" s="172" t="n">
        <x:v>0</x:v>
      </x:c>
      <x:c r="K17" s="163" t="str">
        <x:f>IFERROR(VLOOKUP($B17,DATA!$A$2:$P$200,8,FALSE),"")</x:f>
      </x:c>
      <x:c r="L17" s="163" t="str">
        <x:f>IFERROR(VLOOKUP($B17,DATA!$A$2:$P$200,9,FALSE),"")</x:f>
      </x:c>
      <x:c r="M17" s="175" t="str">
        <x:f>IF($B17="","",IF($C17="Mall",$F17*$L17,$F17*$K17))</x:f>
      </x:c>
      <x:c r="N17" s="175" t="str">
        <x:f>IF($B17="","",$F17*SETTINGS!$B$2)</x:f>
      </x:c>
      <x:c r="O17" s="175" t="str">
        <x:f>IF($B17="","",SETTINGS!$B$3)</x:f>
      </x:c>
      <x:c r="P17" s="175" t="str">
        <x:f>IF($B17="","",SUM($M17:$O17))</x:f>
      </x:c>
      <x:c r="Q17" s="180" t="str">
        <x:f>IF($B17="","",$G17+($F17*$H17)+$I17+$J17+$P17)</x:f>
      </x:c>
      <x:c r="R17" s="177" t="str">
        <x:f>IF($B17="","",$F17-$Q17)</x:f>
      </x:c>
      <x:c r="S17" s="178" t="str">
        <x:f>IF($B17="","",IFERROR($R17/$F17,0))</x:f>
      </x:c>
      <x:c r="T17" s="181" t="str">
        <x:f>IF($B17="","",IF($R17&lt;0,"LỖ",IF($S17&lt;SETTINGS!$B$5,"LÃI THẤP",IF($S17&gt;=0.2,"TỐT","ỔN"))))</x:f>
      </x:c>
      <x:c r="U17" s="182" t="str">
        <x:f>IFERROR(VLOOKUP($B17,DATA!$A$2:$P$200,16,FALSE),"")</x:f>
      </x:c>
    </x:row>
    <x:row r="18" ht="22" customHeight="1">
      <x:c r="A18" s="169"/>
      <x:c r="B18" s="170"/>
      <x:c r="C18" s="171" t="str">
        <x:v>Marketplace</x:v>
      </x:c>
      <x:c r="D18" s="172" t="str">
        <x:f>IFERROR(VLOOKUP($B18,DATA!$A$2:$P$200,11,FALSE),"")</x:f>
      </x:c>
      <x:c r="E18" s="172" t="n">
        <x:v>0</x:v>
      </x:c>
      <x:c r="F18" s="174" t="str">
        <x:f>IF($B18="","",MAX(0,$D18-$E18))</x:f>
      </x:c>
      <x:c r="G18" s="161" t="str">
        <x:f>IFERROR(VLOOKUP($B18,DATA!$A$2:$P$200,14,FALSE),"")</x:f>
      </x:c>
      <x:c r="H18" s="173" t="n">
        <x:v>0</x:v>
      </x:c>
      <x:c r="I18" s="172" t="n">
        <x:v>0</x:v>
      </x:c>
      <x:c r="J18" s="172" t="n">
        <x:v>0</x:v>
      </x:c>
      <x:c r="K18" s="163" t="str">
        <x:f>IFERROR(VLOOKUP($B18,DATA!$A$2:$P$200,8,FALSE),"")</x:f>
      </x:c>
      <x:c r="L18" s="163" t="str">
        <x:f>IFERROR(VLOOKUP($B18,DATA!$A$2:$P$200,9,FALSE),"")</x:f>
      </x:c>
      <x:c r="M18" s="175" t="str">
        <x:f>IF($B18="","",IF($C18="Mall",$F18*$L18,$F18*$K18))</x:f>
      </x:c>
      <x:c r="N18" s="175" t="str">
        <x:f>IF($B18="","",$F18*SETTINGS!$B$2)</x:f>
      </x:c>
      <x:c r="O18" s="175" t="str">
        <x:f>IF($B18="","",SETTINGS!$B$3)</x:f>
      </x:c>
      <x:c r="P18" s="175" t="str">
        <x:f>IF($B18="","",SUM($M18:$O18))</x:f>
      </x:c>
      <x:c r="Q18" s="180" t="str">
        <x:f>IF($B18="","",$G18+($F18*$H18)+$I18+$J18+$P18)</x:f>
      </x:c>
      <x:c r="R18" s="177" t="str">
        <x:f>IF($B18="","",$F18-$Q18)</x:f>
      </x:c>
      <x:c r="S18" s="178" t="str">
        <x:f>IF($B18="","",IFERROR($R18/$F18,0))</x:f>
      </x:c>
      <x:c r="T18" s="181" t="str">
        <x:f>IF($B18="","",IF($R18&lt;0,"LỖ",IF($S18&lt;SETTINGS!$B$5,"LÃI THẤP",IF($S18&gt;=0.2,"TỐT","ỔN"))))</x:f>
      </x:c>
      <x:c r="U18" s="182" t="str">
        <x:f>IFERROR(VLOOKUP($B18,DATA!$A$2:$P$200,16,FALSE),"")</x:f>
      </x:c>
    </x:row>
    <x:row r="19" ht="22" customHeight="1">
      <x:c r="A19" s="169"/>
      <x:c r="B19" s="170"/>
      <x:c r="C19" s="171" t="str">
        <x:v>Marketplace</x:v>
      </x:c>
      <x:c r="D19" s="172" t="str">
        <x:f>IFERROR(VLOOKUP($B19,DATA!$A$2:$P$200,11,FALSE),"")</x:f>
      </x:c>
      <x:c r="E19" s="172" t="n">
        <x:v>0</x:v>
      </x:c>
      <x:c r="F19" s="174" t="str">
        <x:f>IF($B19="","",MAX(0,$D19-$E19))</x:f>
      </x:c>
      <x:c r="G19" s="161" t="str">
        <x:f>IFERROR(VLOOKUP($B19,DATA!$A$2:$P$200,14,FALSE),"")</x:f>
      </x:c>
      <x:c r="H19" s="173" t="n">
        <x:v>0</x:v>
      </x:c>
      <x:c r="I19" s="172" t="n">
        <x:v>0</x:v>
      </x:c>
      <x:c r="J19" s="172" t="n">
        <x:v>0</x:v>
      </x:c>
      <x:c r="K19" s="163" t="str">
        <x:f>IFERROR(VLOOKUP($B19,DATA!$A$2:$P$200,8,FALSE),"")</x:f>
      </x:c>
      <x:c r="L19" s="163" t="str">
        <x:f>IFERROR(VLOOKUP($B19,DATA!$A$2:$P$200,9,FALSE),"")</x:f>
      </x:c>
      <x:c r="M19" s="175" t="str">
        <x:f>IF($B19="","",IF($C19="Mall",$F19*$L19,$F19*$K19))</x:f>
      </x:c>
      <x:c r="N19" s="175" t="str">
        <x:f>IF($B19="","",$F19*SETTINGS!$B$2)</x:f>
      </x:c>
      <x:c r="O19" s="175" t="str">
        <x:f>IF($B19="","",SETTINGS!$B$3)</x:f>
      </x:c>
      <x:c r="P19" s="175" t="str">
        <x:f>IF($B19="","",SUM($M19:$O19))</x:f>
      </x:c>
      <x:c r="Q19" s="180" t="str">
        <x:f>IF($B19="","",$G19+($F19*$H19)+$I19+$J19+$P19)</x:f>
      </x:c>
      <x:c r="R19" s="177" t="str">
        <x:f>IF($B19="","",$F19-$Q19)</x:f>
      </x:c>
      <x:c r="S19" s="178" t="str">
        <x:f>IF($B19="","",IFERROR($R19/$F19,0))</x:f>
      </x:c>
      <x:c r="T19" s="181" t="str">
        <x:f>IF($B19="","",IF($R19&lt;0,"LỖ",IF($S19&lt;SETTINGS!$B$5,"LÃI THẤP",IF($S19&gt;=0.2,"TỐT","ỔN"))))</x:f>
      </x:c>
      <x:c r="U19" s="182" t="str">
        <x:f>IFERROR(VLOOKUP($B19,DATA!$A$2:$P$200,16,FALSE),"")</x:f>
      </x:c>
    </x:row>
    <x:row r="20" ht="22" customHeight="1">
      <x:c r="A20" s="169"/>
      <x:c r="B20" s="170"/>
      <x:c r="C20" s="171" t="str">
        <x:v>Marketplace</x:v>
      </x:c>
      <x:c r="D20" s="172" t="str">
        <x:f>IFERROR(VLOOKUP($B20,DATA!$A$2:$P$200,11,FALSE),"")</x:f>
      </x:c>
      <x:c r="E20" s="172" t="n">
        <x:v>0</x:v>
      </x:c>
      <x:c r="F20" s="174" t="str">
        <x:f>IF($B20="","",MAX(0,$D20-$E20))</x:f>
      </x:c>
      <x:c r="G20" s="161" t="str">
        <x:f>IFERROR(VLOOKUP($B20,DATA!$A$2:$P$200,14,FALSE),"")</x:f>
      </x:c>
      <x:c r="H20" s="173" t="n">
        <x:v>0</x:v>
      </x:c>
      <x:c r="I20" s="172" t="n">
        <x:v>0</x:v>
      </x:c>
      <x:c r="J20" s="172" t="n">
        <x:v>0</x:v>
      </x:c>
      <x:c r="K20" s="163" t="str">
        <x:f>IFERROR(VLOOKUP($B20,DATA!$A$2:$P$200,8,FALSE),"")</x:f>
      </x:c>
      <x:c r="L20" s="163" t="str">
        <x:f>IFERROR(VLOOKUP($B20,DATA!$A$2:$P$200,9,FALSE),"")</x:f>
      </x:c>
      <x:c r="M20" s="175" t="str">
        <x:f>IF($B20="","",IF($C20="Mall",$F20*$L20,$F20*$K20))</x:f>
      </x:c>
      <x:c r="N20" s="175" t="str">
        <x:f>IF($B20="","",$F20*SETTINGS!$B$2)</x:f>
      </x:c>
      <x:c r="O20" s="175" t="str">
        <x:f>IF($B20="","",SETTINGS!$B$3)</x:f>
      </x:c>
      <x:c r="P20" s="175" t="str">
        <x:f>IF($B20="","",SUM($M20:$O20))</x:f>
      </x:c>
      <x:c r="Q20" s="180" t="str">
        <x:f>IF($B20="","",$G20+($F20*$H20)+$I20+$J20+$P20)</x:f>
      </x:c>
      <x:c r="R20" s="177" t="str">
        <x:f>IF($B20="","",$F20-$Q20)</x:f>
      </x:c>
      <x:c r="S20" s="178" t="str">
        <x:f>IF($B20="","",IFERROR($R20/$F20,0))</x:f>
      </x:c>
      <x:c r="T20" s="181" t="str">
        <x:f>IF($B20="","",IF($R20&lt;0,"LỖ",IF($S20&lt;SETTINGS!$B$5,"LÃI THẤP",IF($S20&gt;=0.2,"TỐT","ỔN"))))</x:f>
      </x:c>
      <x:c r="U20" s="182" t="str">
        <x:f>IFERROR(VLOOKUP($B20,DATA!$A$2:$P$200,16,FALSE),"")</x:f>
      </x:c>
    </x:row>
    <x:row r="21" ht="22" customHeight="1">
      <x:c r="A21" s="169"/>
      <x:c r="B21" s="170"/>
      <x:c r="C21" s="171" t="str">
        <x:v>Marketplace</x:v>
      </x:c>
      <x:c r="D21" s="172" t="str">
        <x:f>IFERROR(VLOOKUP($B21,DATA!$A$2:$P$200,11,FALSE),"")</x:f>
      </x:c>
      <x:c r="E21" s="172" t="n">
        <x:v>0</x:v>
      </x:c>
      <x:c r="F21" s="174" t="str">
        <x:f>IF($B21="","",MAX(0,$D21-$E21))</x:f>
      </x:c>
      <x:c r="G21" s="161" t="str">
        <x:f>IFERROR(VLOOKUP($B21,DATA!$A$2:$P$200,14,FALSE),"")</x:f>
      </x:c>
      <x:c r="H21" s="173" t="n">
        <x:v>0</x:v>
      </x:c>
      <x:c r="I21" s="172" t="n">
        <x:v>0</x:v>
      </x:c>
      <x:c r="J21" s="172" t="n">
        <x:v>0</x:v>
      </x:c>
      <x:c r="K21" s="163" t="str">
        <x:f>IFERROR(VLOOKUP($B21,DATA!$A$2:$P$200,8,FALSE),"")</x:f>
      </x:c>
      <x:c r="L21" s="163" t="str">
        <x:f>IFERROR(VLOOKUP($B21,DATA!$A$2:$P$200,9,FALSE),"")</x:f>
      </x:c>
      <x:c r="M21" s="175" t="str">
        <x:f>IF($B21="","",IF($C21="Mall",$F21*$L21,$F21*$K21))</x:f>
      </x:c>
      <x:c r="N21" s="175" t="str">
        <x:f>IF($B21="","",$F21*SETTINGS!$B$2)</x:f>
      </x:c>
      <x:c r="O21" s="175" t="str">
        <x:f>IF($B21="","",SETTINGS!$B$3)</x:f>
      </x:c>
      <x:c r="P21" s="175" t="str">
        <x:f>IF($B21="","",SUM($M21:$O21))</x:f>
      </x:c>
      <x:c r="Q21" s="180" t="str">
        <x:f>IF($B21="","",$G21+($F21*$H21)+$I21+$J21+$P21)</x:f>
      </x:c>
      <x:c r="R21" s="177" t="str">
        <x:f>IF($B21="","",$F21-$Q21)</x:f>
      </x:c>
      <x:c r="S21" s="178" t="str">
        <x:f>IF($B21="","",IFERROR($R21/$F21,0))</x:f>
      </x:c>
      <x:c r="T21" s="181" t="str">
        <x:f>IF($B21="","",IF($R21&lt;0,"LỖ",IF($S21&lt;SETTINGS!$B$5,"LÃI THẤP",IF($S21&gt;=0.2,"TỐT","ỔN"))))</x:f>
      </x:c>
      <x:c r="U21" s="182" t="str">
        <x:f>IFERROR(VLOOKUP($B21,DATA!$A$2:$P$200,16,FALSE),"")</x:f>
      </x:c>
    </x:row>
    <x:row r="22" ht="22" customHeight="1">
      <x:c r="A22" s="169"/>
      <x:c r="B22" s="170"/>
      <x:c r="C22" s="171" t="str">
        <x:v>Marketplace</x:v>
      </x:c>
      <x:c r="D22" s="172" t="str">
        <x:f>IFERROR(VLOOKUP($B22,DATA!$A$2:$P$200,11,FALSE),"")</x:f>
      </x:c>
      <x:c r="E22" s="172" t="n">
        <x:v>0</x:v>
      </x:c>
      <x:c r="F22" s="174" t="str">
        <x:f>IF($B22="","",MAX(0,$D22-$E22))</x:f>
      </x:c>
      <x:c r="G22" s="161" t="str">
        <x:f>IFERROR(VLOOKUP($B22,DATA!$A$2:$P$200,14,FALSE),"")</x:f>
      </x:c>
      <x:c r="H22" s="173" t="n">
        <x:v>0</x:v>
      </x:c>
      <x:c r="I22" s="172" t="n">
        <x:v>0</x:v>
      </x:c>
      <x:c r="J22" s="172" t="n">
        <x:v>0</x:v>
      </x:c>
      <x:c r="K22" s="163" t="str">
        <x:f>IFERROR(VLOOKUP($B22,DATA!$A$2:$P$200,8,FALSE),"")</x:f>
      </x:c>
      <x:c r="L22" s="163" t="str">
        <x:f>IFERROR(VLOOKUP($B22,DATA!$A$2:$P$200,9,FALSE),"")</x:f>
      </x:c>
      <x:c r="M22" s="175" t="str">
        <x:f>IF($B22="","",IF($C22="Mall",$F22*$L22,$F22*$K22))</x:f>
      </x:c>
      <x:c r="N22" s="175" t="str">
        <x:f>IF($B22="","",$F22*SETTINGS!$B$2)</x:f>
      </x:c>
      <x:c r="O22" s="175" t="str">
        <x:f>IF($B22="","",SETTINGS!$B$3)</x:f>
      </x:c>
      <x:c r="P22" s="175" t="str">
        <x:f>IF($B22="","",SUM($M22:$O22))</x:f>
      </x:c>
      <x:c r="Q22" s="180" t="str">
        <x:f>IF($B22="","",$G22+($F22*$H22)+$I22+$J22+$P22)</x:f>
      </x:c>
      <x:c r="R22" s="177" t="str">
        <x:f>IF($B22="","",$F22-$Q22)</x:f>
      </x:c>
      <x:c r="S22" s="178" t="str">
        <x:f>IF($B22="","",IFERROR($R22/$F22,0))</x:f>
      </x:c>
      <x:c r="T22" s="181" t="str">
        <x:f>IF($B22="","",IF($R22&lt;0,"LỖ",IF($S22&lt;SETTINGS!$B$5,"LÃI THẤP",IF($S22&gt;=0.2,"TỐT","ỔN"))))</x:f>
      </x:c>
      <x:c r="U22" s="182" t="str">
        <x:f>IFERROR(VLOOKUP($B22,DATA!$A$2:$P$200,16,FALSE),"")</x:f>
      </x:c>
    </x:row>
    <x:row r="23" ht="22" customHeight="1">
      <x:c r="A23" s="169"/>
      <x:c r="B23" s="170"/>
      <x:c r="C23" s="171" t="str">
        <x:v>Marketplace</x:v>
      </x:c>
      <x:c r="D23" s="172" t="str">
        <x:f>IFERROR(VLOOKUP($B23,DATA!$A$2:$P$200,11,FALSE),"")</x:f>
      </x:c>
      <x:c r="E23" s="172" t="n">
        <x:v>0</x:v>
      </x:c>
      <x:c r="F23" s="174" t="str">
        <x:f>IF($B23="","",MAX(0,$D23-$E23))</x:f>
      </x:c>
      <x:c r="G23" s="161" t="str">
        <x:f>IFERROR(VLOOKUP($B23,DATA!$A$2:$P$200,14,FALSE),"")</x:f>
      </x:c>
      <x:c r="H23" s="173" t="n">
        <x:v>0</x:v>
      </x:c>
      <x:c r="I23" s="172" t="n">
        <x:v>0</x:v>
      </x:c>
      <x:c r="J23" s="172" t="n">
        <x:v>0</x:v>
      </x:c>
      <x:c r="K23" s="163" t="str">
        <x:f>IFERROR(VLOOKUP($B23,DATA!$A$2:$P$200,8,FALSE),"")</x:f>
      </x:c>
      <x:c r="L23" s="163" t="str">
        <x:f>IFERROR(VLOOKUP($B23,DATA!$A$2:$P$200,9,FALSE),"")</x:f>
      </x:c>
      <x:c r="M23" s="175" t="str">
        <x:f>IF($B23="","",IF($C23="Mall",$F23*$L23,$F23*$K23))</x:f>
      </x:c>
      <x:c r="N23" s="175" t="str">
        <x:f>IF($B23="","",$F23*SETTINGS!$B$2)</x:f>
      </x:c>
      <x:c r="O23" s="175" t="str">
        <x:f>IF($B23="","",SETTINGS!$B$3)</x:f>
      </x:c>
      <x:c r="P23" s="175" t="str">
        <x:f>IF($B23="","",SUM($M23:$O23))</x:f>
      </x:c>
      <x:c r="Q23" s="180" t="str">
        <x:f>IF($B23="","",$G23+($F23*$H23)+$I23+$J23+$P23)</x:f>
      </x:c>
      <x:c r="R23" s="177" t="str">
        <x:f>IF($B23="","",$F23-$Q23)</x:f>
      </x:c>
      <x:c r="S23" s="178" t="str">
        <x:f>IF($B23="","",IFERROR($R23/$F23,0))</x:f>
      </x:c>
      <x:c r="T23" s="181" t="str">
        <x:f>IF($B23="","",IF($R23&lt;0,"LỖ",IF($S23&lt;SETTINGS!$B$5,"LÃI THẤP",IF($S23&gt;=0.2,"TỐT","ỔN"))))</x:f>
      </x:c>
      <x:c r="U23" s="182" t="str">
        <x:f>IFERROR(VLOOKUP($B23,DATA!$A$2:$P$200,16,FALSE),"")</x:f>
      </x:c>
    </x:row>
    <x:row r="24" ht="22" customHeight="1">
      <x:c r="A24" s="169"/>
      <x:c r="B24" s="170"/>
      <x:c r="C24" s="171" t="str">
        <x:v>Marketplace</x:v>
      </x:c>
      <x:c r="D24" s="172" t="str">
        <x:f>IFERROR(VLOOKUP($B24,DATA!$A$2:$P$200,11,FALSE),"")</x:f>
      </x:c>
      <x:c r="E24" s="172" t="n">
        <x:v>0</x:v>
      </x:c>
      <x:c r="F24" s="174" t="str">
        <x:f>IF($B24="","",MAX(0,$D24-$E24))</x:f>
      </x:c>
      <x:c r="G24" s="161" t="str">
        <x:f>IFERROR(VLOOKUP($B24,DATA!$A$2:$P$200,14,FALSE),"")</x:f>
      </x:c>
      <x:c r="H24" s="173" t="n">
        <x:v>0</x:v>
      </x:c>
      <x:c r="I24" s="172" t="n">
        <x:v>0</x:v>
      </x:c>
      <x:c r="J24" s="172" t="n">
        <x:v>0</x:v>
      </x:c>
      <x:c r="K24" s="163" t="str">
        <x:f>IFERROR(VLOOKUP($B24,DATA!$A$2:$P$200,8,FALSE),"")</x:f>
      </x:c>
      <x:c r="L24" s="163" t="str">
        <x:f>IFERROR(VLOOKUP($B24,DATA!$A$2:$P$200,9,FALSE),"")</x:f>
      </x:c>
      <x:c r="M24" s="175" t="str">
        <x:f>IF($B24="","",IF($C24="Mall",$F24*$L24,$F24*$K24))</x:f>
      </x:c>
      <x:c r="N24" s="175" t="str">
        <x:f>IF($B24="","",$F24*SETTINGS!$B$2)</x:f>
      </x:c>
      <x:c r="O24" s="175" t="str">
        <x:f>IF($B24="","",SETTINGS!$B$3)</x:f>
      </x:c>
      <x:c r="P24" s="175" t="str">
        <x:f>IF($B24="","",SUM($M24:$O24))</x:f>
      </x:c>
      <x:c r="Q24" s="180" t="str">
        <x:f>IF($B24="","",$G24+($F24*$H24)+$I24+$J24+$P24)</x:f>
      </x:c>
      <x:c r="R24" s="177" t="str">
        <x:f>IF($B24="","",$F24-$Q24)</x:f>
      </x:c>
      <x:c r="S24" s="178" t="str">
        <x:f>IF($B24="","",IFERROR($R24/$F24,0))</x:f>
      </x:c>
      <x:c r="T24" s="181" t="str">
        <x:f>IF($B24="","",IF($R24&lt;0,"LỖ",IF($S24&lt;SETTINGS!$B$5,"LÃI THẤP",IF($S24&gt;=0.2,"TỐT","ỔN"))))</x:f>
      </x:c>
      <x:c r="U24" s="182" t="str">
        <x:f>IFERROR(VLOOKUP($B24,DATA!$A$2:$P$200,16,FALSE),"")</x:f>
      </x:c>
    </x:row>
    <x:row r="25" ht="22" customHeight="1">
      <x:c r="A25" s="169"/>
      <x:c r="B25" s="170"/>
      <x:c r="C25" s="171" t="str">
        <x:v>Marketplace</x:v>
      </x:c>
      <x:c r="D25" s="172" t="str">
        <x:f>IFERROR(VLOOKUP($B25,DATA!$A$2:$P$200,11,FALSE),"")</x:f>
      </x:c>
      <x:c r="E25" s="172" t="n">
        <x:v>0</x:v>
      </x:c>
      <x:c r="F25" s="174" t="str">
        <x:f>IF($B25="","",MAX(0,$D25-$E25))</x:f>
      </x:c>
      <x:c r="G25" s="161" t="str">
        <x:f>IFERROR(VLOOKUP($B25,DATA!$A$2:$P$200,14,FALSE),"")</x:f>
      </x:c>
      <x:c r="H25" s="173" t="n">
        <x:v>0</x:v>
      </x:c>
      <x:c r="I25" s="172" t="n">
        <x:v>0</x:v>
      </x:c>
      <x:c r="J25" s="172" t="n">
        <x:v>0</x:v>
      </x:c>
      <x:c r="K25" s="163" t="str">
        <x:f>IFERROR(VLOOKUP($B25,DATA!$A$2:$P$200,8,FALSE),"")</x:f>
      </x:c>
      <x:c r="L25" s="163" t="str">
        <x:f>IFERROR(VLOOKUP($B25,DATA!$A$2:$P$200,9,FALSE),"")</x:f>
      </x:c>
      <x:c r="M25" s="175" t="str">
        <x:f>IF($B25="","",IF($C25="Mall",$F25*$L25,$F25*$K25))</x:f>
      </x:c>
      <x:c r="N25" s="175" t="str">
        <x:f>IF($B25="","",$F25*SETTINGS!$B$2)</x:f>
      </x:c>
      <x:c r="O25" s="175" t="str">
        <x:f>IF($B25="","",SETTINGS!$B$3)</x:f>
      </x:c>
      <x:c r="P25" s="175" t="str">
        <x:f>IF($B25="","",SUM($M25:$O25))</x:f>
      </x:c>
      <x:c r="Q25" s="180" t="str">
        <x:f>IF($B25="","",$G25+($F25*$H25)+$I25+$J25+$P25)</x:f>
      </x:c>
      <x:c r="R25" s="177" t="str">
        <x:f>IF($B25="","",$F25-$Q25)</x:f>
      </x:c>
      <x:c r="S25" s="178" t="str">
        <x:f>IF($B25="","",IFERROR($R25/$F25,0))</x:f>
      </x:c>
      <x:c r="T25" s="181" t="str">
        <x:f>IF($B25="","",IF($R25&lt;0,"LỖ",IF($S25&lt;SETTINGS!$B$5,"LÃI THẤP",IF($S25&gt;=0.2,"TỐT","ỔN"))))</x:f>
      </x:c>
      <x:c r="U25" s="182" t="str">
        <x:f>IFERROR(VLOOKUP($B25,DATA!$A$2:$P$200,16,FALSE),"")</x:f>
      </x:c>
    </x:row>
    <x:row r="26" ht="22" customHeight="1">
      <x:c r="A26" s="169"/>
      <x:c r="B26" s="170"/>
      <x:c r="C26" s="171" t="str">
        <x:v>Marketplace</x:v>
      </x:c>
      <x:c r="D26" s="172" t="str">
        <x:f>IFERROR(VLOOKUP($B26,DATA!$A$2:$P$200,11,FALSE),"")</x:f>
      </x:c>
      <x:c r="E26" s="172" t="n">
        <x:v>0</x:v>
      </x:c>
      <x:c r="F26" s="174" t="str">
        <x:f>IF($B26="","",MAX(0,$D26-$E26))</x:f>
      </x:c>
      <x:c r="G26" s="161" t="str">
        <x:f>IFERROR(VLOOKUP($B26,DATA!$A$2:$P$200,14,FALSE),"")</x:f>
      </x:c>
      <x:c r="H26" s="173" t="n">
        <x:v>0</x:v>
      </x:c>
      <x:c r="I26" s="172" t="n">
        <x:v>0</x:v>
      </x:c>
      <x:c r="J26" s="172" t="n">
        <x:v>0</x:v>
      </x:c>
      <x:c r="K26" s="163" t="str">
        <x:f>IFERROR(VLOOKUP($B26,DATA!$A$2:$P$200,8,FALSE),"")</x:f>
      </x:c>
      <x:c r="L26" s="163" t="str">
        <x:f>IFERROR(VLOOKUP($B26,DATA!$A$2:$P$200,9,FALSE),"")</x:f>
      </x:c>
      <x:c r="M26" s="175" t="str">
        <x:f>IF($B26="","",IF($C26="Mall",$F26*$L26,$F26*$K26))</x:f>
      </x:c>
      <x:c r="N26" s="175" t="str">
        <x:f>IF($B26="","",$F26*SETTINGS!$B$2)</x:f>
      </x:c>
      <x:c r="O26" s="175" t="str">
        <x:f>IF($B26="","",SETTINGS!$B$3)</x:f>
      </x:c>
      <x:c r="P26" s="175" t="str">
        <x:f>IF($B26="","",SUM($M26:$O26))</x:f>
      </x:c>
      <x:c r="Q26" s="180" t="str">
        <x:f>IF($B26="","",$G26+($F26*$H26)+$I26+$J26+$P26)</x:f>
      </x:c>
      <x:c r="R26" s="177" t="str">
        <x:f>IF($B26="","",$F26-$Q26)</x:f>
      </x:c>
      <x:c r="S26" s="178" t="str">
        <x:f>IF($B26="","",IFERROR($R26/$F26,0))</x:f>
      </x:c>
      <x:c r="T26" s="181" t="str">
        <x:f>IF($B26="","",IF($R26&lt;0,"LỖ",IF($S26&lt;SETTINGS!$B$5,"LÃI THẤP",IF($S26&gt;=0.2,"TỐT","ỔN"))))</x:f>
      </x:c>
      <x:c r="U26" s="182" t="str">
        <x:f>IFERROR(VLOOKUP($B26,DATA!$A$2:$P$200,16,FALSE),"")</x:f>
      </x:c>
    </x:row>
    <x:row r="27" ht="22" customHeight="1">
      <x:c r="A27" s="169"/>
      <x:c r="B27" s="170"/>
      <x:c r="C27" s="171" t="str">
        <x:v>Marketplace</x:v>
      </x:c>
      <x:c r="D27" s="172" t="str">
        <x:f>IFERROR(VLOOKUP($B27,DATA!$A$2:$P$200,11,FALSE),"")</x:f>
      </x:c>
      <x:c r="E27" s="172" t="n">
        <x:v>0</x:v>
      </x:c>
      <x:c r="F27" s="174" t="str">
        <x:f>IF($B27="","",MAX(0,$D27-$E27))</x:f>
      </x:c>
      <x:c r="G27" s="161" t="str">
        <x:f>IFERROR(VLOOKUP($B27,DATA!$A$2:$P$200,14,FALSE),"")</x:f>
      </x:c>
      <x:c r="H27" s="173" t="n">
        <x:v>0</x:v>
      </x:c>
      <x:c r="I27" s="172" t="n">
        <x:v>0</x:v>
      </x:c>
      <x:c r="J27" s="172" t="n">
        <x:v>0</x:v>
      </x:c>
      <x:c r="K27" s="163" t="str">
        <x:f>IFERROR(VLOOKUP($B27,DATA!$A$2:$P$200,8,FALSE),"")</x:f>
      </x:c>
      <x:c r="L27" s="163" t="str">
        <x:f>IFERROR(VLOOKUP($B27,DATA!$A$2:$P$200,9,FALSE),"")</x:f>
      </x:c>
      <x:c r="M27" s="175" t="str">
        <x:f>IF($B27="","",IF($C27="Mall",$F27*$L27,$F27*$K27))</x:f>
      </x:c>
      <x:c r="N27" s="175" t="str">
        <x:f>IF($B27="","",$F27*SETTINGS!$B$2)</x:f>
      </x:c>
      <x:c r="O27" s="175" t="str">
        <x:f>IF($B27="","",SETTINGS!$B$3)</x:f>
      </x:c>
      <x:c r="P27" s="175" t="str">
        <x:f>IF($B27="","",SUM($M27:$O27))</x:f>
      </x:c>
      <x:c r="Q27" s="180" t="str">
        <x:f>IF($B27="","",$G27+($F27*$H27)+$I27+$J27+$P27)</x:f>
      </x:c>
      <x:c r="R27" s="177" t="str">
        <x:f>IF($B27="","",$F27-$Q27)</x:f>
      </x:c>
      <x:c r="S27" s="178" t="str">
        <x:f>IF($B27="","",IFERROR($R27/$F27,0))</x:f>
      </x:c>
      <x:c r="T27" s="181" t="str">
        <x:f>IF($B27="","",IF($R27&lt;0,"LỖ",IF($S27&lt;SETTINGS!$B$5,"LÃI THẤP",IF($S27&gt;=0.2,"TỐT","ỔN"))))</x:f>
      </x:c>
      <x:c r="U27" s="182" t="str">
        <x:f>IFERROR(VLOOKUP($B27,DATA!$A$2:$P$200,16,FALSE),"")</x:f>
      </x:c>
    </x:row>
    <x:row r="28" ht="22" customHeight="1">
      <x:c r="A28" s="169"/>
      <x:c r="B28" s="170"/>
      <x:c r="C28" s="171" t="str">
        <x:v>Marketplace</x:v>
      </x:c>
      <x:c r="D28" s="172" t="str">
        <x:f>IFERROR(VLOOKUP($B28,DATA!$A$2:$P$200,11,FALSE),"")</x:f>
      </x:c>
      <x:c r="E28" s="172" t="n">
        <x:v>0</x:v>
      </x:c>
      <x:c r="F28" s="174" t="str">
        <x:f>IF($B28="","",MAX(0,$D28-$E28))</x:f>
      </x:c>
      <x:c r="G28" s="161" t="str">
        <x:f>IFERROR(VLOOKUP($B28,DATA!$A$2:$P$200,14,FALSE),"")</x:f>
      </x:c>
      <x:c r="H28" s="173" t="n">
        <x:v>0</x:v>
      </x:c>
      <x:c r="I28" s="172" t="n">
        <x:v>0</x:v>
      </x:c>
      <x:c r="J28" s="172" t="n">
        <x:v>0</x:v>
      </x:c>
      <x:c r="K28" s="163" t="str">
        <x:f>IFERROR(VLOOKUP($B28,DATA!$A$2:$P$200,8,FALSE),"")</x:f>
      </x:c>
      <x:c r="L28" s="163" t="str">
        <x:f>IFERROR(VLOOKUP($B28,DATA!$A$2:$P$200,9,FALSE),"")</x:f>
      </x:c>
      <x:c r="M28" s="175" t="str">
        <x:f>IF($B28="","",IF($C28="Mall",$F28*$L28,$F28*$K28))</x:f>
      </x:c>
      <x:c r="N28" s="175" t="str">
        <x:f>IF($B28="","",$F28*SETTINGS!$B$2)</x:f>
      </x:c>
      <x:c r="O28" s="175" t="str">
        <x:f>IF($B28="","",SETTINGS!$B$3)</x:f>
      </x:c>
      <x:c r="P28" s="175" t="str">
        <x:f>IF($B28="","",SUM($M28:$O28))</x:f>
      </x:c>
      <x:c r="Q28" s="180" t="str">
        <x:f>IF($B28="","",$G28+($F28*$H28)+$I28+$J28+$P28)</x:f>
      </x:c>
      <x:c r="R28" s="177" t="str">
        <x:f>IF($B28="","",$F28-$Q28)</x:f>
      </x:c>
      <x:c r="S28" s="178" t="str">
        <x:f>IF($B28="","",IFERROR($R28/$F28,0))</x:f>
      </x:c>
      <x:c r="T28" s="181" t="str">
        <x:f>IF($B28="","",IF($R28&lt;0,"LỖ",IF($S28&lt;SETTINGS!$B$5,"LÃI THẤP",IF($S28&gt;=0.2,"TỐT","ỔN"))))</x:f>
      </x:c>
      <x:c r="U28" s="182" t="str">
        <x:f>IFERROR(VLOOKUP($B28,DATA!$A$2:$P$200,16,FALSE),"")</x:f>
      </x:c>
    </x:row>
    <x:row r="29" ht="22" customHeight="1">
      <x:c r="A29" s="169"/>
      <x:c r="B29" s="170"/>
      <x:c r="C29" s="171" t="str">
        <x:v>Marketplace</x:v>
      </x:c>
      <x:c r="D29" s="172" t="str">
        <x:f>IFERROR(VLOOKUP($B29,DATA!$A$2:$P$200,11,FALSE),"")</x:f>
      </x:c>
      <x:c r="E29" s="172" t="n">
        <x:v>0</x:v>
      </x:c>
      <x:c r="F29" s="174" t="str">
        <x:f>IF($B29="","",MAX(0,$D29-$E29))</x:f>
      </x:c>
      <x:c r="G29" s="161" t="str">
        <x:f>IFERROR(VLOOKUP($B29,DATA!$A$2:$P$200,14,FALSE),"")</x:f>
      </x:c>
      <x:c r="H29" s="173" t="n">
        <x:v>0</x:v>
      </x:c>
      <x:c r="I29" s="172" t="n">
        <x:v>0</x:v>
      </x:c>
      <x:c r="J29" s="172" t="n">
        <x:v>0</x:v>
      </x:c>
      <x:c r="K29" s="163" t="str">
        <x:f>IFERROR(VLOOKUP($B29,DATA!$A$2:$P$200,8,FALSE),"")</x:f>
      </x:c>
      <x:c r="L29" s="163" t="str">
        <x:f>IFERROR(VLOOKUP($B29,DATA!$A$2:$P$200,9,FALSE),"")</x:f>
      </x:c>
      <x:c r="M29" s="175" t="str">
        <x:f>IF($B29="","",IF($C29="Mall",$F29*$L29,$F29*$K29))</x:f>
      </x:c>
      <x:c r="N29" s="175" t="str">
        <x:f>IF($B29="","",$F29*SETTINGS!$B$2)</x:f>
      </x:c>
      <x:c r="O29" s="175" t="str">
        <x:f>IF($B29="","",SETTINGS!$B$3)</x:f>
      </x:c>
      <x:c r="P29" s="175" t="str">
        <x:f>IF($B29="","",SUM($M29:$O29))</x:f>
      </x:c>
      <x:c r="Q29" s="180" t="str">
        <x:f>IF($B29="","",$G29+($F29*$H29)+$I29+$J29+$P29)</x:f>
      </x:c>
      <x:c r="R29" s="177" t="str">
        <x:f>IF($B29="","",$F29-$Q29)</x:f>
      </x:c>
      <x:c r="S29" s="178" t="str">
        <x:f>IF($B29="","",IFERROR($R29/$F29,0))</x:f>
      </x:c>
      <x:c r="T29" s="181" t="str">
        <x:f>IF($B29="","",IF($R29&lt;0,"LỖ",IF($S29&lt;SETTINGS!$B$5,"LÃI THẤP",IF($S29&gt;=0.2,"TỐT","ỔN"))))</x:f>
      </x:c>
      <x:c r="U29" s="182" t="str">
        <x:f>IFERROR(VLOOKUP($B29,DATA!$A$2:$P$200,16,FALSE),"")</x:f>
      </x:c>
    </x:row>
    <x:row r="30" ht="22" customHeight="1">
      <x:c r="A30" s="169"/>
      <x:c r="B30" s="170"/>
      <x:c r="C30" s="171" t="str">
        <x:v>Marketplace</x:v>
      </x:c>
      <x:c r="D30" s="172" t="str">
        <x:f>IFERROR(VLOOKUP($B30,DATA!$A$2:$P$200,11,FALSE),"")</x:f>
      </x:c>
      <x:c r="E30" s="172" t="n">
        <x:v>0</x:v>
      </x:c>
      <x:c r="F30" s="174" t="str">
        <x:f>IF($B30="","",MAX(0,$D30-$E30))</x:f>
      </x:c>
      <x:c r="G30" s="161" t="str">
        <x:f>IFERROR(VLOOKUP($B30,DATA!$A$2:$P$200,14,FALSE),"")</x:f>
      </x:c>
      <x:c r="H30" s="173" t="n">
        <x:v>0</x:v>
      </x:c>
      <x:c r="I30" s="172" t="n">
        <x:v>0</x:v>
      </x:c>
      <x:c r="J30" s="172" t="n">
        <x:v>0</x:v>
      </x:c>
      <x:c r="K30" s="163" t="str">
        <x:f>IFERROR(VLOOKUP($B30,DATA!$A$2:$P$200,8,FALSE),"")</x:f>
      </x:c>
      <x:c r="L30" s="163" t="str">
        <x:f>IFERROR(VLOOKUP($B30,DATA!$A$2:$P$200,9,FALSE),"")</x:f>
      </x:c>
      <x:c r="M30" s="175" t="str">
        <x:f>IF($B30="","",IF($C30="Mall",$F30*$L30,$F30*$K30))</x:f>
      </x:c>
      <x:c r="N30" s="175" t="str">
        <x:f>IF($B30="","",$F30*SETTINGS!$B$2)</x:f>
      </x:c>
      <x:c r="O30" s="175" t="str">
        <x:f>IF($B30="","",SETTINGS!$B$3)</x:f>
      </x:c>
      <x:c r="P30" s="175" t="str">
        <x:f>IF($B30="","",SUM($M30:$O30))</x:f>
      </x:c>
      <x:c r="Q30" s="180" t="str">
        <x:f>IF($B30="","",$G30+($F30*$H30)+$I30+$J30+$P30)</x:f>
      </x:c>
      <x:c r="R30" s="177" t="str">
        <x:f>IF($B30="","",$F30-$Q30)</x:f>
      </x:c>
      <x:c r="S30" s="178" t="str">
        <x:f>IF($B30="","",IFERROR($R30/$F30,0))</x:f>
      </x:c>
      <x:c r="T30" s="181" t="str">
        <x:f>IF($B30="","",IF($R30&lt;0,"LỖ",IF($S30&lt;SETTINGS!$B$5,"LÃI THẤP",IF($S30&gt;=0.2,"TỐT","ỔN"))))</x:f>
      </x:c>
      <x:c r="U30" s="182" t="str">
        <x:f>IFERROR(VLOOKUP($B30,DATA!$A$2:$P$200,16,FALSE),"")</x:f>
      </x:c>
    </x:row>
    <x:row r="31" ht="22" customHeight="1">
      <x:c r="A31" s="169"/>
      <x:c r="B31" s="170"/>
      <x:c r="C31" s="171" t="str">
        <x:v>Marketplace</x:v>
      </x:c>
      <x:c r="D31" s="172" t="str">
        <x:f>IFERROR(VLOOKUP($B31,DATA!$A$2:$P$200,11,FALSE),"")</x:f>
      </x:c>
      <x:c r="E31" s="172" t="n">
        <x:v>0</x:v>
      </x:c>
      <x:c r="F31" s="174" t="str">
        <x:f>IF($B31="","",MAX(0,$D31-$E31))</x:f>
      </x:c>
      <x:c r="G31" s="161" t="str">
        <x:f>IFERROR(VLOOKUP($B31,DATA!$A$2:$P$200,14,FALSE),"")</x:f>
      </x:c>
      <x:c r="H31" s="173" t="n">
        <x:v>0</x:v>
      </x:c>
      <x:c r="I31" s="172" t="n">
        <x:v>0</x:v>
      </x:c>
      <x:c r="J31" s="172" t="n">
        <x:v>0</x:v>
      </x:c>
      <x:c r="K31" s="163" t="str">
        <x:f>IFERROR(VLOOKUP($B31,DATA!$A$2:$P$200,8,FALSE),"")</x:f>
      </x:c>
      <x:c r="L31" s="163" t="str">
        <x:f>IFERROR(VLOOKUP($B31,DATA!$A$2:$P$200,9,FALSE),"")</x:f>
      </x:c>
      <x:c r="M31" s="175" t="str">
        <x:f>IF($B31="","",IF($C31="Mall",$F31*$L31,$F31*$K31))</x:f>
      </x:c>
      <x:c r="N31" s="175" t="str">
        <x:f>IF($B31="","",$F31*SETTINGS!$B$2)</x:f>
      </x:c>
      <x:c r="O31" s="175" t="str">
        <x:f>IF($B31="","",SETTINGS!$B$3)</x:f>
      </x:c>
      <x:c r="P31" s="175" t="str">
        <x:f>IF($B31="","",SUM($M31:$O31))</x:f>
      </x:c>
      <x:c r="Q31" s="180" t="str">
        <x:f>IF($B31="","",$G31+($F31*$H31)+$I31+$J31+$P31)</x:f>
      </x:c>
      <x:c r="R31" s="177" t="str">
        <x:f>IF($B31="","",$F31-$Q31)</x:f>
      </x:c>
      <x:c r="S31" s="178" t="str">
        <x:f>IF($B31="","",IFERROR($R31/$F31,0))</x:f>
      </x:c>
      <x:c r="T31" s="181" t="str">
        <x:f>IF($B31="","",IF($R31&lt;0,"LỖ",IF($S31&lt;SETTINGS!$B$5,"LÃI THẤP",IF($S31&gt;=0.2,"TỐT","ỔN"))))</x:f>
      </x:c>
      <x:c r="U31" s="182" t="str">
        <x:f>IFERROR(VLOOKUP($B31,DATA!$A$2:$P$200,16,FALSE),"")</x:f>
      </x:c>
    </x:row>
    <x:row r="32" ht="22" customHeight="1">
      <x:c r="A32" s="169"/>
      <x:c r="B32" s="170"/>
      <x:c r="C32" s="171" t="str">
        <x:v>Marketplace</x:v>
      </x:c>
      <x:c r="D32" s="172" t="str">
        <x:f>IFERROR(VLOOKUP($B32,DATA!$A$2:$P$200,11,FALSE),"")</x:f>
      </x:c>
      <x:c r="E32" s="172" t="n">
        <x:v>0</x:v>
      </x:c>
      <x:c r="F32" s="174" t="str">
        <x:f>IF($B32="","",MAX(0,$D32-$E32))</x:f>
      </x:c>
      <x:c r="G32" s="161" t="str">
        <x:f>IFERROR(VLOOKUP($B32,DATA!$A$2:$P$200,14,FALSE),"")</x:f>
      </x:c>
      <x:c r="H32" s="173" t="n">
        <x:v>0</x:v>
      </x:c>
      <x:c r="I32" s="172" t="n">
        <x:v>0</x:v>
      </x:c>
      <x:c r="J32" s="172" t="n">
        <x:v>0</x:v>
      </x:c>
      <x:c r="K32" s="163" t="str">
        <x:f>IFERROR(VLOOKUP($B32,DATA!$A$2:$P$200,8,FALSE),"")</x:f>
      </x:c>
      <x:c r="L32" s="163" t="str">
        <x:f>IFERROR(VLOOKUP($B32,DATA!$A$2:$P$200,9,FALSE),"")</x:f>
      </x:c>
      <x:c r="M32" s="175" t="str">
        <x:f>IF($B32="","",IF($C32="Mall",$F32*$L32,$F32*$K32))</x:f>
      </x:c>
      <x:c r="N32" s="175" t="str">
        <x:f>IF($B32="","",$F32*SETTINGS!$B$2)</x:f>
      </x:c>
      <x:c r="O32" s="175" t="str">
        <x:f>IF($B32="","",SETTINGS!$B$3)</x:f>
      </x:c>
      <x:c r="P32" s="175" t="str">
        <x:f>IF($B32="","",SUM($M32:$O32))</x:f>
      </x:c>
      <x:c r="Q32" s="180" t="str">
        <x:f>IF($B32="","",$G32+($F32*$H32)+$I32+$J32+$P32)</x:f>
      </x:c>
      <x:c r="R32" s="177" t="str">
        <x:f>IF($B32="","",$F32-$Q32)</x:f>
      </x:c>
      <x:c r="S32" s="178" t="str">
        <x:f>IF($B32="","",IFERROR($R32/$F32,0))</x:f>
      </x:c>
      <x:c r="T32" s="181" t="str">
        <x:f>IF($B32="","",IF($R32&lt;0,"LỖ",IF($S32&lt;SETTINGS!$B$5,"LÃI THẤP",IF($S32&gt;=0.2,"TỐT","ỔN"))))</x:f>
      </x:c>
      <x:c r="U32" s="182" t="str">
        <x:f>IFERROR(VLOOKUP($B32,DATA!$A$2:$P$200,16,FALSE),"")</x:f>
      </x:c>
    </x:row>
    <x:row r="33" ht="22" customHeight="1">
      <x:c r="A33" s="169"/>
      <x:c r="B33" s="170"/>
      <x:c r="C33" s="171" t="str">
        <x:v>Marketplace</x:v>
      </x:c>
      <x:c r="D33" s="172" t="str">
        <x:f>IFERROR(VLOOKUP($B33,DATA!$A$2:$P$200,11,FALSE),"")</x:f>
      </x:c>
      <x:c r="E33" s="172" t="n">
        <x:v>0</x:v>
      </x:c>
      <x:c r="F33" s="174" t="str">
        <x:f>IF($B33="","",MAX(0,$D33-$E33))</x:f>
      </x:c>
      <x:c r="G33" s="161" t="str">
        <x:f>IFERROR(VLOOKUP($B33,DATA!$A$2:$P$200,14,FALSE),"")</x:f>
      </x:c>
      <x:c r="H33" s="173" t="n">
        <x:v>0</x:v>
      </x:c>
      <x:c r="I33" s="172" t="n">
        <x:v>0</x:v>
      </x:c>
      <x:c r="J33" s="172" t="n">
        <x:v>0</x:v>
      </x:c>
      <x:c r="K33" s="163" t="str">
        <x:f>IFERROR(VLOOKUP($B33,DATA!$A$2:$P$200,8,FALSE),"")</x:f>
      </x:c>
      <x:c r="L33" s="163" t="str">
        <x:f>IFERROR(VLOOKUP($B33,DATA!$A$2:$P$200,9,FALSE),"")</x:f>
      </x:c>
      <x:c r="M33" s="175" t="str">
        <x:f>IF($B33="","",IF($C33="Mall",$F33*$L33,$F33*$K33))</x:f>
      </x:c>
      <x:c r="N33" s="175" t="str">
        <x:f>IF($B33="","",$F33*SETTINGS!$B$2)</x:f>
      </x:c>
      <x:c r="O33" s="175" t="str">
        <x:f>IF($B33="","",SETTINGS!$B$3)</x:f>
      </x:c>
      <x:c r="P33" s="175" t="str">
        <x:f>IF($B33="","",SUM($M33:$O33))</x:f>
      </x:c>
      <x:c r="Q33" s="180" t="str">
        <x:f>IF($B33="","",$G33+($F33*$H33)+$I33+$J33+$P33)</x:f>
      </x:c>
      <x:c r="R33" s="177" t="str">
        <x:f>IF($B33="","",$F33-$Q33)</x:f>
      </x:c>
      <x:c r="S33" s="178" t="str">
        <x:f>IF($B33="","",IFERROR($R33/$F33,0))</x:f>
      </x:c>
      <x:c r="T33" s="181" t="str">
        <x:f>IF($B33="","",IF($R33&lt;0,"LỖ",IF($S33&lt;SETTINGS!$B$5,"LÃI THẤP",IF($S33&gt;=0.2,"TỐT","ỔN"))))</x:f>
      </x:c>
      <x:c r="U33" s="182" t="str">
        <x:f>IFERROR(VLOOKUP($B33,DATA!$A$2:$P$200,16,FALSE),"")</x:f>
      </x:c>
    </x:row>
    <x:row r="34" ht="22" customHeight="1">
      <x:c r="A34" s="169"/>
      <x:c r="B34" s="170"/>
      <x:c r="C34" s="171" t="str">
        <x:v>Marketplace</x:v>
      </x:c>
      <x:c r="D34" s="172" t="str">
        <x:f>IFERROR(VLOOKUP($B34,DATA!$A$2:$P$200,11,FALSE),"")</x:f>
      </x:c>
      <x:c r="E34" s="172" t="n">
        <x:v>0</x:v>
      </x:c>
      <x:c r="F34" s="174" t="str">
        <x:f>IF($B34="","",MAX(0,$D34-$E34))</x:f>
      </x:c>
      <x:c r="G34" s="161" t="str">
        <x:f>IFERROR(VLOOKUP($B34,DATA!$A$2:$P$200,14,FALSE),"")</x:f>
      </x:c>
      <x:c r="H34" s="173" t="n">
        <x:v>0</x:v>
      </x:c>
      <x:c r="I34" s="172" t="n">
        <x:v>0</x:v>
      </x:c>
      <x:c r="J34" s="172" t="n">
        <x:v>0</x:v>
      </x:c>
      <x:c r="K34" s="163" t="str">
        <x:f>IFERROR(VLOOKUP($B34,DATA!$A$2:$P$200,8,FALSE),"")</x:f>
      </x:c>
      <x:c r="L34" s="163" t="str">
        <x:f>IFERROR(VLOOKUP($B34,DATA!$A$2:$P$200,9,FALSE),"")</x:f>
      </x:c>
      <x:c r="M34" s="175" t="str">
        <x:f>IF($B34="","",IF($C34="Mall",$F34*$L34,$F34*$K34))</x:f>
      </x:c>
      <x:c r="N34" s="175" t="str">
        <x:f>IF($B34="","",$F34*SETTINGS!$B$2)</x:f>
      </x:c>
      <x:c r="O34" s="175" t="str">
        <x:f>IF($B34="","",SETTINGS!$B$3)</x:f>
      </x:c>
      <x:c r="P34" s="175" t="str">
        <x:f>IF($B34="","",SUM($M34:$O34))</x:f>
      </x:c>
      <x:c r="Q34" s="180" t="str">
        <x:f>IF($B34="","",$G34+($F34*$H34)+$I34+$J34+$P34)</x:f>
      </x:c>
      <x:c r="R34" s="177" t="str">
        <x:f>IF($B34="","",$F34-$Q34)</x:f>
      </x:c>
      <x:c r="S34" s="178" t="str">
        <x:f>IF($B34="","",IFERROR($R34/$F34,0))</x:f>
      </x:c>
      <x:c r="T34" s="181" t="str">
        <x:f>IF($B34="","",IF($R34&lt;0,"LỖ",IF($S34&lt;SETTINGS!$B$5,"LÃI THẤP",IF($S34&gt;=0.2,"TỐT","ỔN"))))</x:f>
      </x:c>
      <x:c r="U34" s="182" t="str">
        <x:f>IFERROR(VLOOKUP($B34,DATA!$A$2:$P$200,16,FALSE),"")</x:f>
      </x:c>
    </x:row>
    <x:row r="35" ht="22" customHeight="1">
      <x:c r="A35" s="169"/>
      <x:c r="B35" s="170"/>
      <x:c r="C35" s="171" t="str">
        <x:v>Marketplace</x:v>
      </x:c>
      <x:c r="D35" s="172" t="str">
        <x:f>IFERROR(VLOOKUP($B35,DATA!$A$2:$P$200,11,FALSE),"")</x:f>
      </x:c>
      <x:c r="E35" s="172" t="n">
        <x:v>0</x:v>
      </x:c>
      <x:c r="F35" s="174" t="str">
        <x:f>IF($B35="","",MAX(0,$D35-$E35))</x:f>
      </x:c>
      <x:c r="G35" s="161" t="str">
        <x:f>IFERROR(VLOOKUP($B35,DATA!$A$2:$P$200,14,FALSE),"")</x:f>
      </x:c>
      <x:c r="H35" s="173" t="n">
        <x:v>0</x:v>
      </x:c>
      <x:c r="I35" s="172" t="n">
        <x:v>0</x:v>
      </x:c>
      <x:c r="J35" s="172" t="n">
        <x:v>0</x:v>
      </x:c>
      <x:c r="K35" s="163" t="str">
        <x:f>IFERROR(VLOOKUP($B35,DATA!$A$2:$P$200,8,FALSE),"")</x:f>
      </x:c>
      <x:c r="L35" s="163" t="str">
        <x:f>IFERROR(VLOOKUP($B35,DATA!$A$2:$P$200,9,FALSE),"")</x:f>
      </x:c>
      <x:c r="M35" s="175" t="str">
        <x:f>IF($B35="","",IF($C35="Mall",$F35*$L35,$F35*$K35))</x:f>
      </x:c>
      <x:c r="N35" s="175" t="str">
        <x:f>IF($B35="","",$F35*SETTINGS!$B$2)</x:f>
      </x:c>
      <x:c r="O35" s="175" t="str">
        <x:f>IF($B35="","",SETTINGS!$B$3)</x:f>
      </x:c>
      <x:c r="P35" s="175" t="str">
        <x:f>IF($B35="","",SUM($M35:$O35))</x:f>
      </x:c>
      <x:c r="Q35" s="180" t="str">
        <x:f>IF($B35="","",$G35+($F35*$H35)+$I35+$J35+$P35)</x:f>
      </x:c>
      <x:c r="R35" s="177" t="str">
        <x:f>IF($B35="","",$F35-$Q35)</x:f>
      </x:c>
      <x:c r="S35" s="178" t="str">
        <x:f>IF($B35="","",IFERROR($R35/$F35,0))</x:f>
      </x:c>
      <x:c r="T35" s="181" t="str">
        <x:f>IF($B35="","",IF($R35&lt;0,"LỖ",IF($S35&lt;SETTINGS!$B$5,"LÃI THẤP",IF($S35&gt;=0.2,"TỐT","ỔN"))))</x:f>
      </x:c>
      <x:c r="U35" s="182" t="str">
        <x:f>IFERROR(VLOOKUP($B35,DATA!$A$2:$P$200,16,FALSE),"")</x:f>
      </x:c>
    </x:row>
    <x:row r="36" ht="22" customHeight="1">
      <x:c r="A36" s="169"/>
      <x:c r="B36" s="170"/>
      <x:c r="C36" s="171" t="str">
        <x:v>Marketplace</x:v>
      </x:c>
      <x:c r="D36" s="172" t="str">
        <x:f>IFERROR(VLOOKUP($B36,DATA!$A$2:$P$200,11,FALSE),"")</x:f>
      </x:c>
      <x:c r="E36" s="172" t="n">
        <x:v>0</x:v>
      </x:c>
      <x:c r="F36" s="174" t="str">
        <x:f>IF($B36="","",MAX(0,$D36-$E36))</x:f>
      </x:c>
      <x:c r="G36" s="161" t="str">
        <x:f>IFERROR(VLOOKUP($B36,DATA!$A$2:$P$200,14,FALSE),"")</x:f>
      </x:c>
      <x:c r="H36" s="173" t="n">
        <x:v>0</x:v>
      </x:c>
      <x:c r="I36" s="172" t="n">
        <x:v>0</x:v>
      </x:c>
      <x:c r="J36" s="172" t="n">
        <x:v>0</x:v>
      </x:c>
      <x:c r="K36" s="163" t="str">
        <x:f>IFERROR(VLOOKUP($B36,DATA!$A$2:$P$200,8,FALSE),"")</x:f>
      </x:c>
      <x:c r="L36" s="163" t="str">
        <x:f>IFERROR(VLOOKUP($B36,DATA!$A$2:$P$200,9,FALSE),"")</x:f>
      </x:c>
      <x:c r="M36" s="175" t="str">
        <x:f>IF($B36="","",IF($C36="Mall",$F36*$L36,$F36*$K36))</x:f>
      </x:c>
      <x:c r="N36" s="175" t="str">
        <x:f>IF($B36="","",$F36*SETTINGS!$B$2)</x:f>
      </x:c>
      <x:c r="O36" s="175" t="str">
        <x:f>IF($B36="","",SETTINGS!$B$3)</x:f>
      </x:c>
      <x:c r="P36" s="175" t="str">
        <x:f>IF($B36="","",SUM($M36:$O36))</x:f>
      </x:c>
      <x:c r="Q36" s="180" t="str">
        <x:f>IF($B36="","",$G36+($F36*$H36)+$I36+$J36+$P36)</x:f>
      </x:c>
      <x:c r="R36" s="177" t="str">
        <x:f>IF($B36="","",$F36-$Q36)</x:f>
      </x:c>
      <x:c r="S36" s="178" t="str">
        <x:f>IF($B36="","",IFERROR($R36/$F36,0))</x:f>
      </x:c>
      <x:c r="T36" s="181" t="str">
        <x:f>IF($B36="","",IF($R36&lt;0,"LỖ",IF($S36&lt;SETTINGS!$B$5,"LÃI THẤP",IF($S36&gt;=0.2,"TỐT","ỔN"))))</x:f>
      </x:c>
      <x:c r="U36" s="182" t="str">
        <x:f>IFERROR(VLOOKUP($B36,DATA!$A$2:$P$200,16,FALSE),"")</x:f>
      </x:c>
    </x:row>
    <x:row r="37" ht="22" customHeight="1">
      <x:c r="A37" s="169"/>
      <x:c r="B37" s="170"/>
      <x:c r="C37" s="171" t="str">
        <x:v>Marketplace</x:v>
      </x:c>
      <x:c r="D37" s="172" t="str">
        <x:f>IFERROR(VLOOKUP($B37,DATA!$A$2:$P$200,11,FALSE),"")</x:f>
      </x:c>
      <x:c r="E37" s="172" t="n">
        <x:v>0</x:v>
      </x:c>
      <x:c r="F37" s="174" t="str">
        <x:f>IF($B37="","",MAX(0,$D37-$E37))</x:f>
      </x:c>
      <x:c r="G37" s="161" t="str">
        <x:f>IFERROR(VLOOKUP($B37,DATA!$A$2:$P$200,14,FALSE),"")</x:f>
      </x:c>
      <x:c r="H37" s="173" t="n">
        <x:v>0</x:v>
      </x:c>
      <x:c r="I37" s="172" t="n">
        <x:v>0</x:v>
      </x:c>
      <x:c r="J37" s="172" t="n">
        <x:v>0</x:v>
      </x:c>
      <x:c r="K37" s="163" t="str">
        <x:f>IFERROR(VLOOKUP($B37,DATA!$A$2:$P$200,8,FALSE),"")</x:f>
      </x:c>
      <x:c r="L37" s="163" t="str">
        <x:f>IFERROR(VLOOKUP($B37,DATA!$A$2:$P$200,9,FALSE),"")</x:f>
      </x:c>
      <x:c r="M37" s="175" t="str">
        <x:f>IF($B37="","",IF($C37="Mall",$F37*$L37,$F37*$K37))</x:f>
      </x:c>
      <x:c r="N37" s="175" t="str">
        <x:f>IF($B37="","",$F37*SETTINGS!$B$2)</x:f>
      </x:c>
      <x:c r="O37" s="175" t="str">
        <x:f>IF($B37="","",SETTINGS!$B$3)</x:f>
      </x:c>
      <x:c r="P37" s="175" t="str">
        <x:f>IF($B37="","",SUM($M37:$O37))</x:f>
      </x:c>
      <x:c r="Q37" s="180" t="str">
        <x:f>IF($B37="","",$G37+($F37*$H37)+$I37+$J37+$P37)</x:f>
      </x:c>
      <x:c r="R37" s="177" t="str">
        <x:f>IF($B37="","",$F37-$Q37)</x:f>
      </x:c>
      <x:c r="S37" s="178" t="str">
        <x:f>IF($B37="","",IFERROR($R37/$F37,0))</x:f>
      </x:c>
      <x:c r="T37" s="181" t="str">
        <x:f>IF($B37="","",IF($R37&lt;0,"LỖ",IF($S37&lt;SETTINGS!$B$5,"LÃI THẤP",IF($S37&gt;=0.2,"TỐT","ỔN"))))</x:f>
      </x:c>
      <x:c r="U37" s="182" t="str">
        <x:f>IFERROR(VLOOKUP($B37,DATA!$A$2:$P$200,16,FALSE),"")</x:f>
      </x:c>
    </x:row>
    <x:row r="38" ht="22" customHeight="1">
      <x:c r="A38" s="169"/>
      <x:c r="B38" s="170"/>
      <x:c r="C38" s="171" t="str">
        <x:v>Marketplace</x:v>
      </x:c>
      <x:c r="D38" s="172" t="str">
        <x:f>IFERROR(VLOOKUP($B38,DATA!$A$2:$P$200,11,FALSE),"")</x:f>
      </x:c>
      <x:c r="E38" s="172" t="n">
        <x:v>0</x:v>
      </x:c>
      <x:c r="F38" s="174" t="str">
        <x:f>IF($B38="","",MAX(0,$D38-$E38))</x:f>
      </x:c>
      <x:c r="G38" s="161" t="str">
        <x:f>IFERROR(VLOOKUP($B38,DATA!$A$2:$P$200,14,FALSE),"")</x:f>
      </x:c>
      <x:c r="H38" s="173" t="n">
        <x:v>0</x:v>
      </x:c>
      <x:c r="I38" s="172" t="n">
        <x:v>0</x:v>
      </x:c>
      <x:c r="J38" s="172" t="n">
        <x:v>0</x:v>
      </x:c>
      <x:c r="K38" s="163" t="str">
        <x:f>IFERROR(VLOOKUP($B38,DATA!$A$2:$P$200,8,FALSE),"")</x:f>
      </x:c>
      <x:c r="L38" s="163" t="str">
        <x:f>IFERROR(VLOOKUP($B38,DATA!$A$2:$P$200,9,FALSE),"")</x:f>
      </x:c>
      <x:c r="M38" s="175" t="str">
        <x:f>IF($B38="","",IF($C38="Mall",$F38*$L38,$F38*$K38))</x:f>
      </x:c>
      <x:c r="N38" s="175" t="str">
        <x:f>IF($B38="","",$F38*SETTINGS!$B$2)</x:f>
      </x:c>
      <x:c r="O38" s="175" t="str">
        <x:f>IF($B38="","",SETTINGS!$B$3)</x:f>
      </x:c>
      <x:c r="P38" s="175" t="str">
        <x:f>IF($B38="","",SUM($M38:$O38))</x:f>
      </x:c>
      <x:c r="Q38" s="180" t="str">
        <x:f>IF($B38="","",$G38+($F38*$H38)+$I38+$J38+$P38)</x:f>
      </x:c>
      <x:c r="R38" s="177" t="str">
        <x:f>IF($B38="","",$F38-$Q38)</x:f>
      </x:c>
      <x:c r="S38" s="178" t="str">
        <x:f>IF($B38="","",IFERROR($R38/$F38,0))</x:f>
      </x:c>
      <x:c r="T38" s="181" t="str">
        <x:f>IF($B38="","",IF($R38&lt;0,"LỖ",IF($S38&lt;SETTINGS!$B$5,"LÃI THẤP",IF($S38&gt;=0.2,"TỐT","ỔN"))))</x:f>
      </x:c>
      <x:c r="U38" s="182" t="str">
        <x:f>IFERROR(VLOOKUP($B38,DATA!$A$2:$P$200,16,FALSE),"")</x:f>
      </x:c>
    </x:row>
    <x:row r="39" ht="22" customHeight="1">
      <x:c r="A39" s="169"/>
      <x:c r="B39" s="170"/>
      <x:c r="C39" s="171" t="str">
        <x:v>Marketplace</x:v>
      </x:c>
      <x:c r="D39" s="172" t="str">
        <x:f>IFERROR(VLOOKUP($B39,DATA!$A$2:$P$200,11,FALSE),"")</x:f>
      </x:c>
      <x:c r="E39" s="172" t="n">
        <x:v>0</x:v>
      </x:c>
      <x:c r="F39" s="174" t="str">
        <x:f>IF($B39="","",MAX(0,$D39-$E39))</x:f>
      </x:c>
      <x:c r="G39" s="161" t="str">
        <x:f>IFERROR(VLOOKUP($B39,DATA!$A$2:$P$200,14,FALSE),"")</x:f>
      </x:c>
      <x:c r="H39" s="173" t="n">
        <x:v>0</x:v>
      </x:c>
      <x:c r="I39" s="172" t="n">
        <x:v>0</x:v>
      </x:c>
      <x:c r="J39" s="172" t="n">
        <x:v>0</x:v>
      </x:c>
      <x:c r="K39" s="163" t="str">
        <x:f>IFERROR(VLOOKUP($B39,DATA!$A$2:$P$200,8,FALSE),"")</x:f>
      </x:c>
      <x:c r="L39" s="163" t="str">
        <x:f>IFERROR(VLOOKUP($B39,DATA!$A$2:$P$200,9,FALSE),"")</x:f>
      </x:c>
      <x:c r="M39" s="175" t="str">
        <x:f>IF($B39="","",IF($C39="Mall",$F39*$L39,$F39*$K39))</x:f>
      </x:c>
      <x:c r="N39" s="175" t="str">
        <x:f>IF($B39="","",$F39*SETTINGS!$B$2)</x:f>
      </x:c>
      <x:c r="O39" s="175" t="str">
        <x:f>IF($B39="","",SETTINGS!$B$3)</x:f>
      </x:c>
      <x:c r="P39" s="175" t="str">
        <x:f>IF($B39="","",SUM($M39:$O39))</x:f>
      </x:c>
      <x:c r="Q39" s="180" t="str">
        <x:f>IF($B39="","",$G39+($F39*$H39)+$I39+$J39+$P39)</x:f>
      </x:c>
      <x:c r="R39" s="177" t="str">
        <x:f>IF($B39="","",$F39-$Q39)</x:f>
      </x:c>
      <x:c r="S39" s="178" t="str">
        <x:f>IF($B39="","",IFERROR($R39/$F39,0))</x:f>
      </x:c>
      <x:c r="T39" s="181" t="str">
        <x:f>IF($B39="","",IF($R39&lt;0,"LỖ",IF($S39&lt;SETTINGS!$B$5,"LÃI THẤP",IF($S39&gt;=0.2,"TỐT","ỔN"))))</x:f>
      </x:c>
      <x:c r="U39" s="182" t="str">
        <x:f>IFERROR(VLOOKUP($B39,DATA!$A$2:$P$200,16,FALSE),"")</x:f>
      </x:c>
    </x:row>
    <x:row r="40" ht="22" customHeight="1">
      <x:c r="A40" s="169"/>
      <x:c r="B40" s="170"/>
      <x:c r="C40" s="171" t="str">
        <x:v>Marketplace</x:v>
      </x:c>
      <x:c r="D40" s="172" t="str">
        <x:f>IFERROR(VLOOKUP($B40,DATA!$A$2:$P$200,11,FALSE),"")</x:f>
      </x:c>
      <x:c r="E40" s="172" t="n">
        <x:v>0</x:v>
      </x:c>
      <x:c r="F40" s="174" t="str">
        <x:f>IF($B40="","",MAX(0,$D40-$E40))</x:f>
      </x:c>
      <x:c r="G40" s="161" t="str">
        <x:f>IFERROR(VLOOKUP($B40,DATA!$A$2:$P$200,14,FALSE),"")</x:f>
      </x:c>
      <x:c r="H40" s="173" t="n">
        <x:v>0</x:v>
      </x:c>
      <x:c r="I40" s="172" t="n">
        <x:v>0</x:v>
      </x:c>
      <x:c r="J40" s="172" t="n">
        <x:v>0</x:v>
      </x:c>
      <x:c r="K40" s="163" t="str">
        <x:f>IFERROR(VLOOKUP($B40,DATA!$A$2:$P$200,8,FALSE),"")</x:f>
      </x:c>
      <x:c r="L40" s="163" t="str">
        <x:f>IFERROR(VLOOKUP($B40,DATA!$A$2:$P$200,9,FALSE),"")</x:f>
      </x:c>
      <x:c r="M40" s="175" t="str">
        <x:f>IF($B40="","",IF($C40="Mall",$F40*$L40,$F40*$K40))</x:f>
      </x:c>
      <x:c r="N40" s="175" t="str">
        <x:f>IF($B40="","",$F40*SETTINGS!$B$2)</x:f>
      </x:c>
      <x:c r="O40" s="175" t="str">
        <x:f>IF($B40="","",SETTINGS!$B$3)</x:f>
      </x:c>
      <x:c r="P40" s="175" t="str">
        <x:f>IF($B40="","",SUM($M40:$O40))</x:f>
      </x:c>
      <x:c r="Q40" s="180" t="str">
        <x:f>IF($B40="","",$G40+($F40*$H40)+$I40+$J40+$P40)</x:f>
      </x:c>
      <x:c r="R40" s="177" t="str">
        <x:f>IF($B40="","",$F40-$Q40)</x:f>
      </x:c>
      <x:c r="S40" s="178" t="str">
        <x:f>IF($B40="","",IFERROR($R40/$F40,0))</x:f>
      </x:c>
      <x:c r="T40" s="181" t="str">
        <x:f>IF($B40="","",IF($R40&lt;0,"LỖ",IF($S40&lt;SETTINGS!$B$5,"LÃI THẤP",IF($S40&gt;=0.2,"TỐT","ỔN"))))</x:f>
      </x:c>
      <x:c r="U40" s="182" t="str">
        <x:f>IFERROR(VLOOKUP($B40,DATA!$A$2:$P$200,16,FALSE),"")</x:f>
      </x:c>
    </x:row>
    <x:row r="41" ht="22" customHeight="1">
      <x:c r="A41" s="169"/>
      <x:c r="B41" s="170"/>
      <x:c r="C41" s="171" t="str">
        <x:v>Marketplace</x:v>
      </x:c>
      <x:c r="D41" s="172" t="str">
        <x:f>IFERROR(VLOOKUP($B41,DATA!$A$2:$P$200,11,FALSE),"")</x:f>
      </x:c>
      <x:c r="E41" s="172" t="n">
        <x:v>0</x:v>
      </x:c>
      <x:c r="F41" s="174" t="str">
        <x:f>IF($B41="","",MAX(0,$D41-$E41))</x:f>
      </x:c>
      <x:c r="G41" s="161" t="str">
        <x:f>IFERROR(VLOOKUP($B41,DATA!$A$2:$P$200,14,FALSE),"")</x:f>
      </x:c>
      <x:c r="H41" s="173" t="n">
        <x:v>0</x:v>
      </x:c>
      <x:c r="I41" s="172" t="n">
        <x:v>0</x:v>
      </x:c>
      <x:c r="J41" s="172" t="n">
        <x:v>0</x:v>
      </x:c>
      <x:c r="K41" s="163" t="str">
        <x:f>IFERROR(VLOOKUP($B41,DATA!$A$2:$P$200,8,FALSE),"")</x:f>
      </x:c>
      <x:c r="L41" s="163" t="str">
        <x:f>IFERROR(VLOOKUP($B41,DATA!$A$2:$P$200,9,FALSE),"")</x:f>
      </x:c>
      <x:c r="M41" s="175" t="str">
        <x:f>IF($B41="","",IF($C41="Mall",$F41*$L41,$F41*$K41))</x:f>
      </x:c>
      <x:c r="N41" s="175" t="str">
        <x:f>IF($B41="","",$F41*SETTINGS!$B$2)</x:f>
      </x:c>
      <x:c r="O41" s="175" t="str">
        <x:f>IF($B41="","",SETTINGS!$B$3)</x:f>
      </x:c>
      <x:c r="P41" s="175" t="str">
        <x:f>IF($B41="","",SUM($M41:$O41))</x:f>
      </x:c>
      <x:c r="Q41" s="180" t="str">
        <x:f>IF($B41="","",$G41+($F41*$H41)+$I41+$J41+$P41)</x:f>
      </x:c>
      <x:c r="R41" s="177" t="str">
        <x:f>IF($B41="","",$F41-$Q41)</x:f>
      </x:c>
      <x:c r="S41" s="178" t="str">
        <x:f>IF($B41="","",IFERROR($R41/$F41,0))</x:f>
      </x:c>
      <x:c r="T41" s="181" t="str">
        <x:f>IF($B41="","",IF($R41&lt;0,"LỖ",IF($S41&lt;SETTINGS!$B$5,"LÃI THẤP",IF($S41&gt;=0.2,"TỐT","ỔN"))))</x:f>
      </x:c>
      <x:c r="U41" s="182" t="str">
        <x:f>IFERROR(VLOOKUP($B41,DATA!$A$2:$P$200,16,FALSE),"")</x:f>
      </x:c>
    </x:row>
    <x:row r="42" ht="22" customHeight="1">
      <x:c r="A42" s="169"/>
      <x:c r="B42" s="170"/>
      <x:c r="C42" s="171" t="str">
        <x:v>Marketplace</x:v>
      </x:c>
      <x:c r="D42" s="172" t="str">
        <x:f>IFERROR(VLOOKUP($B42,DATA!$A$2:$P$200,11,FALSE),"")</x:f>
      </x:c>
      <x:c r="E42" s="172" t="n">
        <x:v>0</x:v>
      </x:c>
      <x:c r="F42" s="174" t="str">
        <x:f>IF($B42="","",MAX(0,$D42-$E42))</x:f>
      </x:c>
      <x:c r="G42" s="161" t="str">
        <x:f>IFERROR(VLOOKUP($B42,DATA!$A$2:$P$200,14,FALSE),"")</x:f>
      </x:c>
      <x:c r="H42" s="173" t="n">
        <x:v>0</x:v>
      </x:c>
      <x:c r="I42" s="172" t="n">
        <x:v>0</x:v>
      </x:c>
      <x:c r="J42" s="172" t="n">
        <x:v>0</x:v>
      </x:c>
      <x:c r="K42" s="163" t="str">
        <x:f>IFERROR(VLOOKUP($B42,DATA!$A$2:$P$200,8,FALSE),"")</x:f>
      </x:c>
      <x:c r="L42" s="163" t="str">
        <x:f>IFERROR(VLOOKUP($B42,DATA!$A$2:$P$200,9,FALSE),"")</x:f>
      </x:c>
      <x:c r="M42" s="175" t="str">
        <x:f>IF($B42="","",IF($C42="Mall",$F42*$L42,$F42*$K42))</x:f>
      </x:c>
      <x:c r="N42" s="175" t="str">
        <x:f>IF($B42="","",$F42*SETTINGS!$B$2)</x:f>
      </x:c>
      <x:c r="O42" s="175" t="str">
        <x:f>IF($B42="","",SETTINGS!$B$3)</x:f>
      </x:c>
      <x:c r="P42" s="175" t="str">
        <x:f>IF($B42="","",SUM($M42:$O42))</x:f>
      </x:c>
      <x:c r="Q42" s="180" t="str">
        <x:f>IF($B42="","",$G42+($F42*$H42)+$I42+$J42+$P42)</x:f>
      </x:c>
      <x:c r="R42" s="177" t="str">
        <x:f>IF($B42="","",$F42-$Q42)</x:f>
      </x:c>
      <x:c r="S42" s="178" t="str">
        <x:f>IF($B42="","",IFERROR($R42/$F42,0))</x:f>
      </x:c>
      <x:c r="T42" s="181" t="str">
        <x:f>IF($B42="","",IF($R42&lt;0,"LỖ",IF($S42&lt;SETTINGS!$B$5,"LÃI THẤP",IF($S42&gt;=0.2,"TỐT","ỔN"))))</x:f>
      </x:c>
      <x:c r="U42" s="182" t="str">
        <x:f>IFERROR(VLOOKUP($B42,DATA!$A$2:$P$200,16,FALSE),"")</x:f>
      </x:c>
    </x:row>
    <x:row r="43" ht="22" customHeight="1">
      <x:c r="A43" s="169"/>
      <x:c r="B43" s="170"/>
      <x:c r="C43" s="171" t="str">
        <x:v>Marketplace</x:v>
      </x:c>
      <x:c r="D43" s="172" t="str">
        <x:f>IFERROR(VLOOKUP($B43,DATA!$A$2:$P$200,11,FALSE),"")</x:f>
      </x:c>
      <x:c r="E43" s="172" t="n">
        <x:v>0</x:v>
      </x:c>
      <x:c r="F43" s="174" t="str">
        <x:f>IF($B43="","",MAX(0,$D43-$E43))</x:f>
      </x:c>
      <x:c r="G43" s="161" t="str">
        <x:f>IFERROR(VLOOKUP($B43,DATA!$A$2:$P$200,14,FALSE),"")</x:f>
      </x:c>
      <x:c r="H43" s="173" t="n">
        <x:v>0</x:v>
      </x:c>
      <x:c r="I43" s="172" t="n">
        <x:v>0</x:v>
      </x:c>
      <x:c r="J43" s="172" t="n">
        <x:v>0</x:v>
      </x:c>
      <x:c r="K43" s="163" t="str">
        <x:f>IFERROR(VLOOKUP($B43,DATA!$A$2:$P$200,8,FALSE),"")</x:f>
      </x:c>
      <x:c r="L43" s="163" t="str">
        <x:f>IFERROR(VLOOKUP($B43,DATA!$A$2:$P$200,9,FALSE),"")</x:f>
      </x:c>
      <x:c r="M43" s="175" t="str">
        <x:f>IF($B43="","",IF($C43="Mall",$F43*$L43,$F43*$K43))</x:f>
      </x:c>
      <x:c r="N43" s="175" t="str">
        <x:f>IF($B43="","",$F43*SETTINGS!$B$2)</x:f>
      </x:c>
      <x:c r="O43" s="175" t="str">
        <x:f>IF($B43="","",SETTINGS!$B$3)</x:f>
      </x:c>
      <x:c r="P43" s="175" t="str">
        <x:f>IF($B43="","",SUM($M43:$O43))</x:f>
      </x:c>
      <x:c r="Q43" s="180" t="str">
        <x:f>IF($B43="","",$G43+($F43*$H43)+$I43+$J43+$P43)</x:f>
      </x:c>
      <x:c r="R43" s="177" t="str">
        <x:f>IF($B43="","",$F43-$Q43)</x:f>
      </x:c>
      <x:c r="S43" s="178" t="str">
        <x:f>IF($B43="","",IFERROR($R43/$F43,0))</x:f>
      </x:c>
      <x:c r="T43" s="181" t="str">
        <x:f>IF($B43="","",IF($R43&lt;0,"LỖ",IF($S43&lt;SETTINGS!$B$5,"LÃI THẤP",IF($S43&gt;=0.2,"TỐT","ỔN"))))</x:f>
      </x:c>
      <x:c r="U43" s="182" t="str">
        <x:f>IFERROR(VLOOKUP($B43,DATA!$A$2:$P$200,16,FALSE),"")</x:f>
      </x:c>
    </x:row>
    <x:row r="44" ht="22" customHeight="1">
      <x:c r="A44" s="169"/>
      <x:c r="B44" s="170"/>
      <x:c r="C44" s="171" t="str">
        <x:v>Marketplace</x:v>
      </x:c>
      <x:c r="D44" s="172" t="str">
        <x:f>IFERROR(VLOOKUP($B44,DATA!$A$2:$P$200,11,FALSE),"")</x:f>
      </x:c>
      <x:c r="E44" s="172" t="n">
        <x:v>0</x:v>
      </x:c>
      <x:c r="F44" s="174" t="str">
        <x:f>IF($B44="","",MAX(0,$D44-$E44))</x:f>
      </x:c>
      <x:c r="G44" s="161" t="str">
        <x:f>IFERROR(VLOOKUP($B44,DATA!$A$2:$P$200,14,FALSE),"")</x:f>
      </x:c>
      <x:c r="H44" s="173" t="n">
        <x:v>0</x:v>
      </x:c>
      <x:c r="I44" s="172" t="n">
        <x:v>0</x:v>
      </x:c>
      <x:c r="J44" s="172" t="n">
        <x:v>0</x:v>
      </x:c>
      <x:c r="K44" s="163" t="str">
        <x:f>IFERROR(VLOOKUP($B44,DATA!$A$2:$P$200,8,FALSE),"")</x:f>
      </x:c>
      <x:c r="L44" s="163" t="str">
        <x:f>IFERROR(VLOOKUP($B44,DATA!$A$2:$P$200,9,FALSE),"")</x:f>
      </x:c>
      <x:c r="M44" s="175" t="str">
        <x:f>IF($B44="","",IF($C44="Mall",$F44*$L44,$F44*$K44))</x:f>
      </x:c>
      <x:c r="N44" s="175" t="str">
        <x:f>IF($B44="","",$F44*SETTINGS!$B$2)</x:f>
      </x:c>
      <x:c r="O44" s="175" t="str">
        <x:f>IF($B44="","",SETTINGS!$B$3)</x:f>
      </x:c>
      <x:c r="P44" s="175" t="str">
        <x:f>IF($B44="","",SUM($M44:$O44))</x:f>
      </x:c>
      <x:c r="Q44" s="180" t="str">
        <x:f>IF($B44="","",$G44+($F44*$H44)+$I44+$J44+$P44)</x:f>
      </x:c>
      <x:c r="R44" s="177" t="str">
        <x:f>IF($B44="","",$F44-$Q44)</x:f>
      </x:c>
      <x:c r="S44" s="178" t="str">
        <x:f>IF($B44="","",IFERROR($R44/$F44,0))</x:f>
      </x:c>
      <x:c r="T44" s="181" t="str">
        <x:f>IF($B44="","",IF($R44&lt;0,"LỖ",IF($S44&lt;SETTINGS!$B$5,"LÃI THẤP",IF($S44&gt;=0.2,"TỐT","ỔN"))))</x:f>
      </x:c>
      <x:c r="U44" s="182" t="str">
        <x:f>IFERROR(VLOOKUP($B44,DATA!$A$2:$P$200,16,FALSE),"")</x:f>
      </x:c>
    </x:row>
    <x:row r="45" ht="22" customHeight="1">
      <x:c r="A45" s="169"/>
      <x:c r="B45" s="170"/>
      <x:c r="C45" s="171" t="str">
        <x:v>Marketplace</x:v>
      </x:c>
      <x:c r="D45" s="172" t="str">
        <x:f>IFERROR(VLOOKUP($B45,DATA!$A$2:$P$200,11,FALSE),"")</x:f>
      </x:c>
      <x:c r="E45" s="172" t="n">
        <x:v>0</x:v>
      </x:c>
      <x:c r="F45" s="174" t="str">
        <x:f>IF($B45="","",MAX(0,$D45-$E45))</x:f>
      </x:c>
      <x:c r="G45" s="161" t="str">
        <x:f>IFERROR(VLOOKUP($B45,DATA!$A$2:$P$200,14,FALSE),"")</x:f>
      </x:c>
      <x:c r="H45" s="173" t="n">
        <x:v>0</x:v>
      </x:c>
      <x:c r="I45" s="172" t="n">
        <x:v>0</x:v>
      </x:c>
      <x:c r="J45" s="172" t="n">
        <x:v>0</x:v>
      </x:c>
      <x:c r="K45" s="163" t="str">
        <x:f>IFERROR(VLOOKUP($B45,DATA!$A$2:$P$200,8,FALSE),"")</x:f>
      </x:c>
      <x:c r="L45" s="163" t="str">
        <x:f>IFERROR(VLOOKUP($B45,DATA!$A$2:$P$200,9,FALSE),"")</x:f>
      </x:c>
      <x:c r="M45" s="175" t="str">
        <x:f>IF($B45="","",IF($C45="Mall",$F45*$L45,$F45*$K45))</x:f>
      </x:c>
      <x:c r="N45" s="175" t="str">
        <x:f>IF($B45="","",$F45*SETTINGS!$B$2)</x:f>
      </x:c>
      <x:c r="O45" s="175" t="str">
        <x:f>IF($B45="","",SETTINGS!$B$3)</x:f>
      </x:c>
      <x:c r="P45" s="175" t="str">
        <x:f>IF($B45="","",SUM($M45:$O45))</x:f>
      </x:c>
      <x:c r="Q45" s="180" t="str">
        <x:f>IF($B45="","",$G45+($F45*$H45)+$I45+$J45+$P45)</x:f>
      </x:c>
      <x:c r="R45" s="177" t="str">
        <x:f>IF($B45="","",$F45-$Q45)</x:f>
      </x:c>
      <x:c r="S45" s="178" t="str">
        <x:f>IF($B45="","",IFERROR($R45/$F45,0))</x:f>
      </x:c>
      <x:c r="T45" s="181" t="str">
        <x:f>IF($B45="","",IF($R45&lt;0,"LỖ",IF($S45&lt;SETTINGS!$B$5,"LÃI THẤP",IF($S45&gt;=0.2,"TỐT","ỔN"))))</x:f>
      </x:c>
      <x:c r="U45" s="182" t="str">
        <x:f>IFERROR(VLOOKUP($B45,DATA!$A$2:$P$200,16,FALSE),"")</x:f>
      </x:c>
    </x:row>
    <x:row r="46" ht="22" customHeight="1">
      <x:c r="A46" s="169"/>
      <x:c r="B46" s="170"/>
      <x:c r="C46" s="171" t="str">
        <x:v>Marketplace</x:v>
      </x:c>
      <x:c r="D46" s="172" t="str">
        <x:f>IFERROR(VLOOKUP($B46,DATA!$A$2:$P$200,11,FALSE),"")</x:f>
      </x:c>
      <x:c r="E46" s="172" t="n">
        <x:v>0</x:v>
      </x:c>
      <x:c r="F46" s="174" t="str">
        <x:f>IF($B46="","",MAX(0,$D46-$E46))</x:f>
      </x:c>
      <x:c r="G46" s="161" t="str">
        <x:f>IFERROR(VLOOKUP($B46,DATA!$A$2:$P$200,14,FALSE),"")</x:f>
      </x:c>
      <x:c r="H46" s="173" t="n">
        <x:v>0</x:v>
      </x:c>
      <x:c r="I46" s="172" t="n">
        <x:v>0</x:v>
      </x:c>
      <x:c r="J46" s="172" t="n">
        <x:v>0</x:v>
      </x:c>
      <x:c r="K46" s="163" t="str">
        <x:f>IFERROR(VLOOKUP($B46,DATA!$A$2:$P$200,8,FALSE),"")</x:f>
      </x:c>
      <x:c r="L46" s="163" t="str">
        <x:f>IFERROR(VLOOKUP($B46,DATA!$A$2:$P$200,9,FALSE),"")</x:f>
      </x:c>
      <x:c r="M46" s="175" t="str">
        <x:f>IF($B46="","",IF($C46="Mall",$F46*$L46,$F46*$K46))</x:f>
      </x:c>
      <x:c r="N46" s="175" t="str">
        <x:f>IF($B46="","",$F46*SETTINGS!$B$2)</x:f>
      </x:c>
      <x:c r="O46" s="175" t="str">
        <x:f>IF($B46="","",SETTINGS!$B$3)</x:f>
      </x:c>
      <x:c r="P46" s="175" t="str">
        <x:f>IF($B46="","",SUM($M46:$O46))</x:f>
      </x:c>
      <x:c r="Q46" s="180" t="str">
        <x:f>IF($B46="","",$G46+($F46*$H46)+$I46+$J46+$P46)</x:f>
      </x:c>
      <x:c r="R46" s="177" t="str">
        <x:f>IF($B46="","",$F46-$Q46)</x:f>
      </x:c>
      <x:c r="S46" s="178" t="str">
        <x:f>IF($B46="","",IFERROR($R46/$F46,0))</x:f>
      </x:c>
      <x:c r="T46" s="181" t="str">
        <x:f>IF($B46="","",IF($R46&lt;0,"LỖ",IF($S46&lt;SETTINGS!$B$5,"LÃI THẤP",IF($S46&gt;=0.2,"TỐT","ỔN"))))</x:f>
      </x:c>
      <x:c r="U46" s="182" t="str">
        <x:f>IFERROR(VLOOKUP($B46,DATA!$A$2:$P$200,16,FALSE),"")</x:f>
      </x:c>
    </x:row>
    <x:row r="47" ht="22" customHeight="1">
      <x:c r="A47" s="169"/>
      <x:c r="B47" s="170"/>
      <x:c r="C47" s="171" t="str">
        <x:v>Marketplace</x:v>
      </x:c>
      <x:c r="D47" s="172" t="str">
        <x:f>IFERROR(VLOOKUP($B47,DATA!$A$2:$P$200,11,FALSE),"")</x:f>
      </x:c>
      <x:c r="E47" s="172" t="n">
        <x:v>0</x:v>
      </x:c>
      <x:c r="F47" s="174" t="str">
        <x:f>IF($B47="","",MAX(0,$D47-$E47))</x:f>
      </x:c>
      <x:c r="G47" s="161" t="str">
        <x:f>IFERROR(VLOOKUP($B47,DATA!$A$2:$P$200,14,FALSE),"")</x:f>
      </x:c>
      <x:c r="H47" s="173" t="n">
        <x:v>0</x:v>
      </x:c>
      <x:c r="I47" s="172" t="n">
        <x:v>0</x:v>
      </x:c>
      <x:c r="J47" s="172" t="n">
        <x:v>0</x:v>
      </x:c>
      <x:c r="K47" s="163" t="str">
        <x:f>IFERROR(VLOOKUP($B47,DATA!$A$2:$P$200,8,FALSE),"")</x:f>
      </x:c>
      <x:c r="L47" s="163" t="str">
        <x:f>IFERROR(VLOOKUP($B47,DATA!$A$2:$P$200,9,FALSE),"")</x:f>
      </x:c>
      <x:c r="M47" s="175" t="str">
        <x:f>IF($B47="","",IF($C47="Mall",$F47*$L47,$F47*$K47))</x:f>
      </x:c>
      <x:c r="N47" s="175" t="str">
        <x:f>IF($B47="","",$F47*SETTINGS!$B$2)</x:f>
      </x:c>
      <x:c r="O47" s="175" t="str">
        <x:f>IF($B47="","",SETTINGS!$B$3)</x:f>
      </x:c>
      <x:c r="P47" s="175" t="str">
        <x:f>IF($B47="","",SUM($M47:$O47))</x:f>
      </x:c>
      <x:c r="Q47" s="180" t="str">
        <x:f>IF($B47="","",$G47+($F47*$H47)+$I47+$J47+$P47)</x:f>
      </x:c>
      <x:c r="R47" s="177" t="str">
        <x:f>IF($B47="","",$F47-$Q47)</x:f>
      </x:c>
      <x:c r="S47" s="178" t="str">
        <x:f>IF($B47="","",IFERROR($R47/$F47,0))</x:f>
      </x:c>
      <x:c r="T47" s="181" t="str">
        <x:f>IF($B47="","",IF($R47&lt;0,"LỖ",IF($S47&lt;SETTINGS!$B$5,"LÃI THẤP",IF($S47&gt;=0.2,"TỐT","ỔN"))))</x:f>
      </x:c>
      <x:c r="U47" s="182" t="str">
        <x:f>IFERROR(VLOOKUP($B47,DATA!$A$2:$P$200,16,FALSE),"")</x:f>
      </x:c>
    </x:row>
    <x:row r="48" ht="22" customHeight="1">
      <x:c r="A48" s="169"/>
      <x:c r="B48" s="170"/>
      <x:c r="C48" s="171" t="str">
        <x:v>Marketplace</x:v>
      </x:c>
      <x:c r="D48" s="172" t="str">
        <x:f>IFERROR(VLOOKUP($B48,DATA!$A$2:$P$200,11,FALSE),"")</x:f>
      </x:c>
      <x:c r="E48" s="172" t="n">
        <x:v>0</x:v>
      </x:c>
      <x:c r="F48" s="174" t="str">
        <x:f>IF($B48="","",MAX(0,$D48-$E48))</x:f>
      </x:c>
      <x:c r="G48" s="161" t="str">
        <x:f>IFERROR(VLOOKUP($B48,DATA!$A$2:$P$200,14,FALSE),"")</x:f>
      </x:c>
      <x:c r="H48" s="173" t="n">
        <x:v>0</x:v>
      </x:c>
      <x:c r="I48" s="172" t="n">
        <x:v>0</x:v>
      </x:c>
      <x:c r="J48" s="172" t="n">
        <x:v>0</x:v>
      </x:c>
      <x:c r="K48" s="163" t="str">
        <x:f>IFERROR(VLOOKUP($B48,DATA!$A$2:$P$200,8,FALSE),"")</x:f>
      </x:c>
      <x:c r="L48" s="163" t="str">
        <x:f>IFERROR(VLOOKUP($B48,DATA!$A$2:$P$200,9,FALSE),"")</x:f>
      </x:c>
      <x:c r="M48" s="175" t="str">
        <x:f>IF($B48="","",IF($C48="Mall",$F48*$L48,$F48*$K48))</x:f>
      </x:c>
      <x:c r="N48" s="175" t="str">
        <x:f>IF($B48="","",$F48*SETTINGS!$B$2)</x:f>
      </x:c>
      <x:c r="O48" s="175" t="str">
        <x:f>IF($B48="","",SETTINGS!$B$3)</x:f>
      </x:c>
      <x:c r="P48" s="175" t="str">
        <x:f>IF($B48="","",SUM($M48:$O48))</x:f>
      </x:c>
      <x:c r="Q48" s="180" t="str">
        <x:f>IF($B48="","",$G48+($F48*$H48)+$I48+$J48+$P48)</x:f>
      </x:c>
      <x:c r="R48" s="177" t="str">
        <x:f>IF($B48="","",$F48-$Q48)</x:f>
      </x:c>
      <x:c r="S48" s="178" t="str">
        <x:f>IF($B48="","",IFERROR($R48/$F48,0))</x:f>
      </x:c>
      <x:c r="T48" s="181" t="str">
        <x:f>IF($B48="","",IF($R48&lt;0,"LỖ",IF($S48&lt;SETTINGS!$B$5,"LÃI THẤP",IF($S48&gt;=0.2,"TỐT","ỔN"))))</x:f>
      </x:c>
      <x:c r="U48" s="182" t="str">
        <x:f>IFERROR(VLOOKUP($B48,DATA!$A$2:$P$200,16,FALSE),"")</x:f>
      </x:c>
    </x:row>
    <x:row r="49" ht="22" customHeight="1">
      <x:c r="A49" s="169"/>
      <x:c r="B49" s="170"/>
      <x:c r="C49" s="171" t="str">
        <x:v>Marketplace</x:v>
      </x:c>
      <x:c r="D49" s="172" t="str">
        <x:f>IFERROR(VLOOKUP($B49,DATA!$A$2:$P$200,11,FALSE),"")</x:f>
      </x:c>
      <x:c r="E49" s="172" t="n">
        <x:v>0</x:v>
      </x:c>
      <x:c r="F49" s="174" t="str">
        <x:f>IF($B49="","",MAX(0,$D49-$E49))</x:f>
      </x:c>
      <x:c r="G49" s="161" t="str">
        <x:f>IFERROR(VLOOKUP($B49,DATA!$A$2:$P$200,14,FALSE),"")</x:f>
      </x:c>
      <x:c r="H49" s="173" t="n">
        <x:v>0</x:v>
      </x:c>
      <x:c r="I49" s="172" t="n">
        <x:v>0</x:v>
      </x:c>
      <x:c r="J49" s="172" t="n">
        <x:v>0</x:v>
      </x:c>
      <x:c r="K49" s="163" t="str">
        <x:f>IFERROR(VLOOKUP($B49,DATA!$A$2:$P$200,8,FALSE),"")</x:f>
      </x:c>
      <x:c r="L49" s="163" t="str">
        <x:f>IFERROR(VLOOKUP($B49,DATA!$A$2:$P$200,9,FALSE),"")</x:f>
      </x:c>
      <x:c r="M49" s="175" t="str">
        <x:f>IF($B49="","",IF($C49="Mall",$F49*$L49,$F49*$K49))</x:f>
      </x:c>
      <x:c r="N49" s="175" t="str">
        <x:f>IF($B49="","",$F49*SETTINGS!$B$2)</x:f>
      </x:c>
      <x:c r="O49" s="175" t="str">
        <x:f>IF($B49="","",SETTINGS!$B$3)</x:f>
      </x:c>
      <x:c r="P49" s="175" t="str">
        <x:f>IF($B49="","",SUM($M49:$O49))</x:f>
      </x:c>
      <x:c r="Q49" s="180" t="str">
        <x:f>IF($B49="","",$G49+($F49*$H49)+$I49+$J49+$P49)</x:f>
      </x:c>
      <x:c r="R49" s="177" t="str">
        <x:f>IF($B49="","",$F49-$Q49)</x:f>
      </x:c>
      <x:c r="S49" s="178" t="str">
        <x:f>IF($B49="","",IFERROR($R49/$F49,0))</x:f>
      </x:c>
      <x:c r="T49" s="181" t="str">
        <x:f>IF($B49="","",IF($R49&lt;0,"LỖ",IF($S49&lt;SETTINGS!$B$5,"LÃI THẤP",IF($S49&gt;=0.2,"TỐT","ỔN"))))</x:f>
      </x:c>
      <x:c r="U49" s="182" t="str">
        <x:f>IFERROR(VLOOKUP($B49,DATA!$A$2:$P$200,16,FALSE),"")</x:f>
      </x:c>
    </x:row>
    <x:row r="50" ht="22" customHeight="1">
      <x:c r="A50" s="169"/>
      <x:c r="B50" s="170"/>
      <x:c r="C50" s="171" t="str">
        <x:v>Marketplace</x:v>
      </x:c>
      <x:c r="D50" s="172" t="str">
        <x:f>IFERROR(VLOOKUP($B50,DATA!$A$2:$P$200,11,FALSE),"")</x:f>
      </x:c>
      <x:c r="E50" s="172" t="n">
        <x:v>0</x:v>
      </x:c>
      <x:c r="F50" s="174" t="str">
        <x:f>IF($B50="","",MAX(0,$D50-$E50))</x:f>
      </x:c>
      <x:c r="G50" s="161" t="str">
        <x:f>IFERROR(VLOOKUP($B50,DATA!$A$2:$P$200,14,FALSE),"")</x:f>
      </x:c>
      <x:c r="H50" s="173" t="n">
        <x:v>0</x:v>
      </x:c>
      <x:c r="I50" s="172" t="n">
        <x:v>0</x:v>
      </x:c>
      <x:c r="J50" s="172" t="n">
        <x:v>0</x:v>
      </x:c>
      <x:c r="K50" s="163" t="str">
        <x:f>IFERROR(VLOOKUP($B50,DATA!$A$2:$P$200,8,FALSE),"")</x:f>
      </x:c>
      <x:c r="L50" s="163" t="str">
        <x:f>IFERROR(VLOOKUP($B50,DATA!$A$2:$P$200,9,FALSE),"")</x:f>
      </x:c>
      <x:c r="M50" s="175" t="str">
        <x:f>IF($B50="","",IF($C50="Mall",$F50*$L50,$F50*$K50))</x:f>
      </x:c>
      <x:c r="N50" s="175" t="str">
        <x:f>IF($B50="","",$F50*SETTINGS!$B$2)</x:f>
      </x:c>
      <x:c r="O50" s="175" t="str">
        <x:f>IF($B50="","",SETTINGS!$B$3)</x:f>
      </x:c>
      <x:c r="P50" s="175" t="str">
        <x:f>IF($B50="","",SUM($M50:$O50))</x:f>
      </x:c>
      <x:c r="Q50" s="180" t="str">
        <x:f>IF($B50="","",$G50+($F50*$H50)+$I50+$J50+$P50)</x:f>
      </x:c>
      <x:c r="R50" s="177" t="str">
        <x:f>IF($B50="","",$F50-$Q50)</x:f>
      </x:c>
      <x:c r="S50" s="178" t="str">
        <x:f>IF($B50="","",IFERROR($R50/$F50,0))</x:f>
      </x:c>
      <x:c r="T50" s="181" t="str">
        <x:f>IF($B50="","",IF($R50&lt;0,"LỖ",IF($S50&lt;SETTINGS!$B$5,"LÃI THẤP",IF($S50&gt;=0.2,"TỐT","ỔN"))))</x:f>
      </x:c>
      <x:c r="U50" s="182" t="str">
        <x:f>IFERROR(VLOOKUP($B50,DATA!$A$2:$P$200,16,FALSE),"")</x:f>
      </x:c>
    </x:row>
    <x:row r="51" ht="22" customHeight="1">
      <x:c r="A51" s="169"/>
      <x:c r="B51" s="170"/>
      <x:c r="C51" s="171" t="str">
        <x:v>Marketplace</x:v>
      </x:c>
      <x:c r="D51" s="172" t="str">
        <x:f>IFERROR(VLOOKUP($B51,DATA!$A$2:$P$200,11,FALSE),"")</x:f>
      </x:c>
      <x:c r="E51" s="172" t="n">
        <x:v>0</x:v>
      </x:c>
      <x:c r="F51" s="174" t="str">
        <x:f>IF($B51="","",MAX(0,$D51-$E51))</x:f>
      </x:c>
      <x:c r="G51" s="161" t="str">
        <x:f>IFERROR(VLOOKUP($B51,DATA!$A$2:$P$200,14,FALSE),"")</x:f>
      </x:c>
      <x:c r="H51" s="173" t="n">
        <x:v>0</x:v>
      </x:c>
      <x:c r="I51" s="172" t="n">
        <x:v>0</x:v>
      </x:c>
      <x:c r="J51" s="172" t="n">
        <x:v>0</x:v>
      </x:c>
      <x:c r="K51" s="163" t="str">
        <x:f>IFERROR(VLOOKUP($B51,DATA!$A$2:$P$200,8,FALSE),"")</x:f>
      </x:c>
      <x:c r="L51" s="163" t="str">
        <x:f>IFERROR(VLOOKUP($B51,DATA!$A$2:$P$200,9,FALSE),"")</x:f>
      </x:c>
      <x:c r="M51" s="175" t="str">
        <x:f>IF($B51="","",IF($C51="Mall",$F51*$L51,$F51*$K51))</x:f>
      </x:c>
      <x:c r="N51" s="175" t="str">
        <x:f>IF($B51="","",$F51*SETTINGS!$B$2)</x:f>
      </x:c>
      <x:c r="O51" s="175" t="str">
        <x:f>IF($B51="","",SETTINGS!$B$3)</x:f>
      </x:c>
      <x:c r="P51" s="175" t="str">
        <x:f>IF($B51="","",SUM($M51:$O51))</x:f>
      </x:c>
      <x:c r="Q51" s="180" t="str">
        <x:f>IF($B51="","",$G51+($F51*$H51)+$I51+$J51+$P51)</x:f>
      </x:c>
      <x:c r="R51" s="177" t="str">
        <x:f>IF($B51="","",$F51-$Q51)</x:f>
      </x:c>
      <x:c r="S51" s="178" t="str">
        <x:f>IF($B51="","",IFERROR($R51/$F51,0))</x:f>
      </x:c>
      <x:c r="T51" s="181" t="str">
        <x:f>IF($B51="","",IF($R51&lt;0,"LỖ",IF($S51&lt;SETTINGS!$B$5,"LÃI THẤP",IF($S51&gt;=0.2,"TỐT","ỔN"))))</x:f>
      </x:c>
      <x:c r="U51" s="182" t="str">
        <x:f>IFERROR(VLOOKUP($B51,DATA!$A$2:$P$200,16,FALSE),"")</x:f>
      </x:c>
    </x:row>
    <x:row r="52" ht="22" customHeight="1">
      <x:c r="A52" s="169"/>
      <x:c r="B52" s="170"/>
      <x:c r="C52" s="171" t="str">
        <x:v>Marketplace</x:v>
      </x:c>
      <x:c r="D52" s="172" t="str">
        <x:f>IFERROR(VLOOKUP($B52,DATA!$A$2:$P$200,11,FALSE),"")</x:f>
      </x:c>
      <x:c r="E52" s="172" t="n">
        <x:v>0</x:v>
      </x:c>
      <x:c r="F52" s="174" t="str">
        <x:f>IF($B52="","",MAX(0,$D52-$E52))</x:f>
      </x:c>
      <x:c r="G52" s="161" t="str">
        <x:f>IFERROR(VLOOKUP($B52,DATA!$A$2:$P$200,14,FALSE),"")</x:f>
      </x:c>
      <x:c r="H52" s="173" t="n">
        <x:v>0</x:v>
      </x:c>
      <x:c r="I52" s="172" t="n">
        <x:v>0</x:v>
      </x:c>
      <x:c r="J52" s="172" t="n">
        <x:v>0</x:v>
      </x:c>
      <x:c r="K52" s="163" t="str">
        <x:f>IFERROR(VLOOKUP($B52,DATA!$A$2:$P$200,8,FALSE),"")</x:f>
      </x:c>
      <x:c r="L52" s="163" t="str">
        <x:f>IFERROR(VLOOKUP($B52,DATA!$A$2:$P$200,9,FALSE),"")</x:f>
      </x:c>
      <x:c r="M52" s="175" t="str">
        <x:f>IF($B52="","",IF($C52="Mall",$F52*$L52,$F52*$K52))</x:f>
      </x:c>
      <x:c r="N52" s="175" t="str">
        <x:f>IF($B52="","",$F52*SETTINGS!$B$2)</x:f>
      </x:c>
      <x:c r="O52" s="175" t="str">
        <x:f>IF($B52="","",SETTINGS!$B$3)</x:f>
      </x:c>
      <x:c r="P52" s="175" t="str">
        <x:f>IF($B52="","",SUM($M52:$O52))</x:f>
      </x:c>
      <x:c r="Q52" s="180" t="str">
        <x:f>IF($B52="","",$G52+($F52*$H52)+$I52+$J52+$P52)</x:f>
      </x:c>
      <x:c r="R52" s="177" t="str">
        <x:f>IF($B52="","",$F52-$Q52)</x:f>
      </x:c>
      <x:c r="S52" s="178" t="str">
        <x:f>IF($B52="","",IFERROR($R52/$F52,0))</x:f>
      </x:c>
      <x:c r="T52" s="181" t="str">
        <x:f>IF($B52="","",IF($R52&lt;0,"LỖ",IF($S52&lt;SETTINGS!$B$5,"LÃI THẤP",IF($S52&gt;=0.2,"TỐT","ỔN"))))</x:f>
      </x:c>
      <x:c r="U52" s="182" t="str">
        <x:f>IFERROR(VLOOKUP($B52,DATA!$A$2:$P$200,16,FALSE),"")</x:f>
      </x:c>
    </x:row>
  </x:sheetData>
  <x:mergeCells>
    <x:mergeCell ref="A1:C1"/>
    <x:mergeCell ref="D1:F1"/>
    <x:mergeCell ref="G1:J1"/>
    <x:mergeCell ref="K1:P1"/>
    <x:mergeCell ref="R1:U1"/>
  </x:mergeCells>
  <x:conditionalFormatting sqref="T3:T52">
    <x:cfRule type="expression" dxfId="0" priority="1">
      <x:formula>T3="TỐT"</x:formula>
    </x:cfRule>
    <x:cfRule type="expression" dxfId="1" priority="2">
      <x:formula>T3="ỔN"</x:formula>
    </x:cfRule>
    <x:cfRule type="expression" dxfId="2" priority="3">
      <x:formula>T3="LÃI THẤP"</x:formula>
    </x:cfRule>
    <x:cfRule type="expression" dxfId="3" priority="4">
      <x:formula>T3="LỖ"</x:formula>
    </x:cfRule>
  </x:conditionalFormatting>
  <x:conditionalFormatting sqref="S3:S52">
    <x:cfRule type="expression" dxfId="4" priority="5">
      <x:formula>S3&lt;0.1</x:formula>
    </x:cfRule>
    <x:cfRule type="expression" dxfId="5" priority="6">
      <x:formula>AND(S3&gt;=0.1,S3&lt;0.2)</x:formula>
    </x:cfRule>
    <x:cfRule type="expression" dxfId="6" priority="7">
      <x:formula>S3&gt;=0.2</x:formula>
    </x:cfRule>
  </x:conditionalFormatting>
  <x:dataValidations count="2">
    <x:dataValidation type="list" sqref="B3:B52">
      <x:formula1>DATA!$A$2:$A$31</x:formula1>
    </x:dataValidation>
    <x:dataValidation type="list" sqref="C3:C52">
      <x:formula1>"Marketplace,Mall"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" hidden="0" customWidth="1"/>
    <x:col min="3" max="3" width="32" hidden="0" customWidth="1"/>
    <x:col min="4" max="4" width="18" hidden="0" customWidth="1"/>
    <x:col min="5" max="5" width="50" hidden="0" customWidth="1"/>
    <x:col min="6" max="6" width="13" hidden="0" customWidth="1"/>
    <x:col min="7" max="7" width="13" hidden="0" customWidth="1"/>
    <x:col min="8" max="8" width="16" hidden="0" customWidth="1"/>
    <x:col min="9" max="9" width="16" hidden="0" customWidth="1"/>
    <x:col min="10" max="10" width="13" hidden="0" customWidth="1"/>
    <x:col min="11" max="11" width="14" hidden="0" customWidth="1"/>
    <x:col min="12" max="12" width="12" hidden="0" customWidth="1"/>
    <x:col min="13" max="13" width="10" hidden="0" customWidth="1"/>
    <x:col min="14" max="14" width="14" hidden="0" customWidth="1"/>
    <x:col min="15" max="15" width="20" hidden="0" customWidth="1"/>
    <x:col min="16" max="16" width="34" hidden="0" customWidth="1"/>
  </x:cols>
  <x:sheetData>
    <x:row r="1">
      <x:c r="A1" s="193" t="str">
        <x:v>Sản phẩm chọn</x:v>
      </x:c>
      <x:c r="B1" s="193" t="str">
        <x:v>SKU</x:v>
      </x:c>
      <x:c r="C1" s="193" t="str">
        <x:v>Tên sản phẩm</x:v>
      </x:c>
      <x:c r="D1" s="193" t="str">
        <x:v>Brand</x:v>
      </x:c>
      <x:c r="E1" s="193" t="str">
        <x:v>Ngành Shopee đề xuất</x:v>
      </x:c>
      <x:c r="F1" s="193" t="str">
        <x:v>Phí tiêu chuẩn</x:v>
      </x:c>
      <x:c r="G1" s="193" t="str">
        <x:v>Phí NB mới</x:v>
      </x:c>
      <x:c r="H1" s="193" t="str">
        <x:v>Phí hiện hành 23/05/2026</x:v>
      </x:c>
      <x:c r="I1" s="193" t="str">
        <x:v>Phí Mall hiện hành</x:v>
      </x:c>
      <x:c r="J1" s="193" t="str">
        <x:v>Phí Mall ưu đãi</x:v>
      </x:c>
      <x:c r="K1" s="193" t="str">
        <x:v>Giá bán tham khảo</x:v>
      </x:c>
      <x:c r="L1" s="193" t="str">
        <x:v>Giá vốn nhập</x:v>
      </x:c>
      <x:c r="M1" s="193" t="str">
        <x:v>Đóng gói</x:v>
      </x:c>
      <x:c r="N1" s="193" t="str">
        <x:v>CP mặc định</x:v>
      </x:c>
      <x:c r="O1" s="193" t="str">
        <x:v>Nguồn giá</x:v>
      </x:c>
      <x:c r="P1" s="193" t="str">
        <x:v>Ghi chú/policy</x:v>
      </x:c>
    </x:row>
    <x:row r="2">
      <x:c r="A2" s="188" t="str">
        <x:v>HC001 | Metacare Colostrum 0+ 400g</x:v>
      </x:c>
      <x:c r="B2" s="188" t="str">
        <x:v>HC001</x:v>
      </x:c>
      <x:c r="C2" s="188" t="str">
        <x:v>Metacare Colostrum 0+ 400g</x:v>
      </x:c>
      <x:c r="D2" s="188" t="str">
        <x:v>Nutricare/MetaCare</x:v>
      </x:c>
      <x:c r="E2" s="188" t="str">
        <x:v>Mẹ &amp; Bé &gt; Sữa công thức &amp; Thực phẩm cho bé &gt; Sữa công thức</x:v>
      </x:c>
      <x:c r="F2" s="189" t="n">
        <x:v>0.11</x:v>
      </x:c>
      <x:c r="G2" s="189" t="n">
        <x:v>0.08</x:v>
      </x:c>
      <x:c r="H2" s="189" t="n">
        <x:v>0.11</x:v>
      </x:c>
      <x:c r="I2" s="189" t="n">
        <x:v>0.125</x:v>
      </x:c>
      <x:c r="J2" s="189" t="n">
        <x:v>0.095</x:v>
      </x:c>
      <x:c r="K2" s="190" t="n">
        <x:v>315000</x:v>
      </x:c>
      <x:c r="L2" s="190"/>
      <x:c r="M2" s="190" t="n">
        <x:v>5000</x:v>
      </x:c>
      <x:c r="N2" s="190" t="n">
        <x:f>IF(L2&lt;&gt;"",L2+M2,IF(K2&lt;&gt;"",K2*SETTINGS!$B$4+M2,""))</x:f>
        <x:v>225500</x:v>
      </x:c>
      <x:c r="O2" s="188" t="str">
        <x:v>Hùng Cường / file đào tạo SP</x:v>
      </x:c>
      <x:c r="P2" s="188" t="str">
        <x:v>0-12 tháng: nhạy cảm khi live/ads/voucher</x:v>
      </x:c>
    </x:row>
    <x:row r="3">
      <x:c r="A3" s="151" t="str">
        <x:v>HC002 | Metacare Colostrum 0+ 800g</x:v>
      </x:c>
      <x:c r="B3" s="151" t="str">
        <x:v>HC002</x:v>
      </x:c>
      <x:c r="C3" s="151" t="str">
        <x:v>Metacare Colostrum 0+ 800g</x:v>
      </x:c>
      <x:c r="D3" s="151" t="str">
        <x:v>Nutricare/MetaCare</x:v>
      </x:c>
      <x:c r="E3" s="151" t="str">
        <x:v>Mẹ &amp; Bé &gt; Sữa công thức &amp; Thực phẩm cho bé &gt; Sữa công thức</x:v>
      </x:c>
      <x:c r="F3" s="200" t="n">
        <x:v>0.11</x:v>
      </x:c>
      <x:c r="G3" s="200" t="n">
        <x:v>0.08</x:v>
      </x:c>
      <x:c r="H3" s="200" t="n">
        <x:v>0.11</x:v>
      </x:c>
      <x:c r="I3" s="200" t="n">
        <x:v>0.125</x:v>
      </x:c>
      <x:c r="J3" s="200" t="n">
        <x:v>0.095</x:v>
      </x:c>
      <x:c r="K3" s="201" t="n">
        <x:v>618000</x:v>
      </x:c>
      <x:c r="L3" s="201"/>
      <x:c r="M3" s="201" t="n">
        <x:v>6000</x:v>
      </x:c>
      <x:c r="N3" s="201" t="n">
        <x:f>IF(L3&lt;&gt;"",L3+M3,IF(K3&lt;&gt;"",K3*SETTINGS!$B$4+M3,""))</x:f>
        <x:v>438600</x:v>
      </x:c>
      <x:c r="O3" s="151" t="str">
        <x:v>File đào tạo SP</x:v>
      </x:c>
      <x:c r="P3" s="151" t="str">
        <x:v>0-12 tháng: nhạy cảm khi live/ads/voucher</x:v>
      </x:c>
    </x:row>
    <x:row r="4">
      <x:c r="A4" s="202" t="str">
        <x:v>HC003 | Metacare Colostrum 1+ 800g</x:v>
      </x:c>
      <x:c r="B4" s="202" t="str">
        <x:v>HC003</x:v>
      </x:c>
      <x:c r="C4" s="202" t="str">
        <x:v>Metacare Colostrum 1+ 800g</x:v>
      </x:c>
      <x:c r="D4" s="202" t="str">
        <x:v>Nutricare/MetaCare</x:v>
      </x:c>
      <x:c r="E4" s="202" t="str">
        <x:v>Mẹ &amp; Bé &gt; Sữa công thức &amp; Thực phẩm cho bé &gt; Sữa công thức</x:v>
      </x:c>
      <x:c r="F4" s="203" t="n">
        <x:v>0.11</x:v>
      </x:c>
      <x:c r="G4" s="203" t="n">
        <x:v>0.08</x:v>
      </x:c>
      <x:c r="H4" s="203" t="n">
        <x:v>0.11</x:v>
      </x:c>
      <x:c r="I4" s="203" t="n">
        <x:v>0.125</x:v>
      </x:c>
      <x:c r="J4" s="203" t="n">
        <x:v>0.095</x:v>
      </x:c>
      <x:c r="K4" s="204" t="n">
        <x:v>575000</x:v>
      </x:c>
      <x:c r="L4" s="204"/>
      <x:c r="M4" s="204" t="n">
        <x:v>6000</x:v>
      </x:c>
      <x:c r="N4" s="204" t="n">
        <x:f>IF(L4&lt;&gt;"",L4+M4,IF(K4&lt;&gt;"",K4*SETTINGS!$B$4+M4,""))</x:f>
        <x:v>408500</x:v>
      </x:c>
      <x:c r="O4" s="202" t="str">
        <x:v>Hùng Cường / file đào tạo SP</x:v>
      </x:c>
      <x:c r="P4" s="202" t="str">
        <x:v>1-2 tuổi: kiểm soát claim và voucher</x:v>
      </x:c>
    </x:row>
    <x:row r="5">
      <x:c r="A5" s="202" t="str">
        <x:v>HC004 | Metacare Colostrum 2+ 800g</x:v>
      </x:c>
      <x:c r="B5" s="202" t="str">
        <x:v>HC004</x:v>
      </x:c>
      <x:c r="C5" s="202" t="str">
        <x:v>Metacare Colostrum 2+ 800g</x:v>
      </x:c>
      <x:c r="D5" s="202" t="str">
        <x:v>Nutricare/MetaCare</x:v>
      </x:c>
      <x:c r="E5" s="202" t="str">
        <x:v>Mẹ &amp; Bé &gt; Sữa công thức &amp; Thực phẩm cho bé &gt; Sữa công thức</x:v>
      </x:c>
      <x:c r="F5" s="203" t="n">
        <x:v>0.11</x:v>
      </x:c>
      <x:c r="G5" s="203" t="n">
        <x:v>0.08</x:v>
      </x:c>
      <x:c r="H5" s="203" t="n">
        <x:v>0.11</x:v>
      </x:c>
      <x:c r="I5" s="203" t="n">
        <x:v>0.125</x:v>
      </x:c>
      <x:c r="J5" s="203" t="n">
        <x:v>0.095</x:v>
      </x:c>
      <x:c r="K5" s="204" t="n">
        <x:v>575000</x:v>
      </x:c>
      <x:c r="L5" s="204"/>
      <x:c r="M5" s="204" t="n">
        <x:v>6000</x:v>
      </x:c>
      <x:c r="N5" s="204" t="n">
        <x:f>IF(L5&lt;&gt;"",L5+M5,IF(K5&lt;&gt;"",K5*SETTINGS!$B$4+M5,""))</x:f>
        <x:v>408500</x:v>
      </x:c>
      <x:c r="O5" s="202" t="str">
        <x:v>Hùng Cường / file đào tạo SP</x:v>
      </x:c>
      <x:c r="P5" s="202" t="str">
        <x:v>2-10 tuổi</x:v>
      </x:c>
    </x:row>
    <x:row r="6">
      <x:c r="A6" s="202" t="str">
        <x:v>HC005 | Metacare Opti C-Section 0+ 400g</x:v>
      </x:c>
      <x:c r="B6" s="202" t="str">
        <x:v>HC005</x:v>
      </x:c>
      <x:c r="C6" s="202" t="str">
        <x:v>Metacare Opti C-Section 0+ 400g</x:v>
      </x:c>
      <x:c r="D6" s="202" t="str">
        <x:v>Nutricare/MetaCare</x:v>
      </x:c>
      <x:c r="E6" s="202" t="str">
        <x:v>Mẹ &amp; Bé &gt; Sữa công thức &amp; Thực phẩm cho bé &gt; Sữa công thức</x:v>
      </x:c>
      <x:c r="F6" s="203" t="n">
        <x:v>0.11</x:v>
      </x:c>
      <x:c r="G6" s="203" t="n">
        <x:v>0.08</x:v>
      </x:c>
      <x:c r="H6" s="203" t="n">
        <x:v>0.11</x:v>
      </x:c>
      <x:c r="I6" s="203" t="n">
        <x:v>0.125</x:v>
      </x:c>
      <x:c r="J6" s="203" t="n">
        <x:v>0.095</x:v>
      </x:c>
      <x:c r="K6" s="204" t="n">
        <x:v>336000</x:v>
      </x:c>
      <x:c r="L6" s="204"/>
      <x:c r="M6" s="204" t="n">
        <x:v>5000</x:v>
      </x:c>
      <x:c r="N6" s="204" t="n">
        <x:f>IF(L6&lt;&gt;"",L6+M6,IF(K6&lt;&gt;"",K6*SETTINGS!$B$4+M6,""))</x:f>
        <x:v>240199.99999999997</x:v>
      </x:c>
      <x:c r="O6" s="202" t="str">
        <x:v>Hùng Cường</x:v>
      </x:c>
      <x:c r="P6" s="202" t="str">
        <x:v>0-12 tháng: nhạy cảm khi live/ads/voucher</x:v>
      </x:c>
    </x:row>
    <x:row r="7">
      <x:c r="A7" s="202" t="str">
        <x:v>HC006 | Metacare Opti C-Section 1+ 800g</x:v>
      </x:c>
      <x:c r="B7" s="202" t="str">
        <x:v>HC006</x:v>
      </x:c>
      <x:c r="C7" s="202" t="str">
        <x:v>Metacare Opti C-Section 1+ 800g</x:v>
      </x:c>
      <x:c r="D7" s="202" t="str">
        <x:v>Nutricare/MetaCare</x:v>
      </x:c>
      <x:c r="E7" s="202" t="str">
        <x:v>Mẹ &amp; Bé &gt; Sữa công thức &amp; Thực phẩm cho bé &gt; Sữa công thức</x:v>
      </x:c>
      <x:c r="F7" s="203" t="n">
        <x:v>0.11</x:v>
      </x:c>
      <x:c r="G7" s="203" t="n">
        <x:v>0.08</x:v>
      </x:c>
      <x:c r="H7" s="203" t="n">
        <x:v>0.11</x:v>
      </x:c>
      <x:c r="I7" s="203" t="n">
        <x:v>0.125</x:v>
      </x:c>
      <x:c r="J7" s="203" t="n">
        <x:v>0.095</x:v>
      </x:c>
      <x:c r="K7" s="204" t="n">
        <x:v>630000</x:v>
      </x:c>
      <x:c r="L7" s="204"/>
      <x:c r="M7" s="204" t="n">
        <x:v>6000</x:v>
      </x:c>
      <x:c r="N7" s="204" t="n">
        <x:f>IF(L7&lt;&gt;"",L7+M7,IF(K7&lt;&gt;"",K7*SETTINGS!$B$4+M7,""))</x:f>
        <x:v>447000</x:v>
      </x:c>
      <x:c r="O7" s="202" t="str">
        <x:v>Hùng Cường / file đào tạo SP</x:v>
      </x:c>
      <x:c r="P7" s="202" t="str">
        <x:v>1-2 tuổi: kiểm soát claim và voucher</x:v>
      </x:c>
    </x:row>
    <x:row r="8">
      <x:c r="A8" s="202" t="str">
        <x:v>HC007 | Metacare Opti C-Section 2+ 800g</x:v>
      </x:c>
      <x:c r="B8" s="202" t="str">
        <x:v>HC007</x:v>
      </x:c>
      <x:c r="C8" s="202" t="str">
        <x:v>Metacare Opti C-Section 2+ 800g</x:v>
      </x:c>
      <x:c r="D8" s="202" t="str">
        <x:v>Nutricare/MetaCare</x:v>
      </x:c>
      <x:c r="E8" s="202" t="str">
        <x:v>Mẹ &amp; Bé &gt; Sữa công thức &amp; Thực phẩm cho bé &gt; Sữa công thức</x:v>
      </x:c>
      <x:c r="F8" s="203" t="n">
        <x:v>0.11</x:v>
      </x:c>
      <x:c r="G8" s="203" t="n">
        <x:v>0.08</x:v>
      </x:c>
      <x:c r="H8" s="203" t="n">
        <x:v>0.11</x:v>
      </x:c>
      <x:c r="I8" s="203" t="n">
        <x:v>0.125</x:v>
      </x:c>
      <x:c r="J8" s="203" t="n">
        <x:v>0.095</x:v>
      </x:c>
      <x:c r="K8" s="204" t="n">
        <x:v>630000</x:v>
      </x:c>
      <x:c r="L8" s="204"/>
      <x:c r="M8" s="204" t="n">
        <x:v>6000</x:v>
      </x:c>
      <x:c r="N8" s="204" t="n">
        <x:f>IF(L8&lt;&gt;"",L8+M8,IF(K8&lt;&gt;"",K8*SETTINGS!$B$4+M8,""))</x:f>
        <x:v>447000</x:v>
      </x:c>
      <x:c r="O8" s="202" t="str">
        <x:v>Hùng Cường / file đào tạo SP</x:v>
      </x:c>
      <x:c r="P8" s="202" t="str">
        <x:v>2-3 tuổi</x:v>
      </x:c>
    </x:row>
    <x:row r="9">
      <x:c r="A9" s="202" t="str">
        <x:v>HC008 | Metacare Opti Lactoferrin 110ml - thùng 24 hộp</x:v>
      </x:c>
      <x:c r="B9" s="202" t="str">
        <x:v>HC008</x:v>
      </x:c>
      <x:c r="C9" s="202" t="str">
        <x:v>Metacare Opti Lactoferrin 110ml - thùng 24 hộp</x:v>
      </x:c>
      <x:c r="D9" s="202" t="str">
        <x:v>Nutricare/MetaCare</x:v>
      </x:c>
      <x:c r="E9" s="202" t="str">
        <x:v>Mẹ &amp; Bé &gt; Sữa công thức &amp; Thực phẩm cho bé &gt; Sữa pha sẵn</x:v>
      </x:c>
      <x:c r="F9" s="203" t="n">
        <x:v>0.115</x:v>
      </x:c>
      <x:c r="G9" s="203" t="n">
        <x:v>0.085</x:v>
      </x:c>
      <x:c r="H9" s="203" t="n">
        <x:v>0.115</x:v>
      </x:c>
      <x:c r="I9" s="203" t="n">
        <x:v>0.145</x:v>
      </x:c>
      <x:c r="J9" s="203" t="n">
        <x:v>0.115</x:v>
      </x:c>
      <x:c r="K9" s="204" t="n">
        <x:v>288000</x:v>
      </x:c>
      <x:c r="L9" s="204"/>
      <x:c r="M9" s="204" t="n">
        <x:v>5000</x:v>
      </x:c>
      <x:c r="N9" s="204" t="n">
        <x:f>IF(L9&lt;&gt;"",L9+M9,IF(K9&lt;&gt;"",K9*SETTINGS!$B$4+M9,""))</x:f>
        <x:v>206600</x:v>
      </x:c>
      <x:c r="O9" s="202" t="str">
        <x:v>Hùng Cường</x:v>
      </x:c>
      <x:c r="P9" s="202" t="str">
        <x:v>Từ 1 tuổi</x:v>
      </x:c>
    </x:row>
    <x:row r="10">
      <x:c r="A10" s="202" t="str">
        <x:v>HC009 | Metacare Opti Lactoferrin 180ml - thùng 24 hộp</x:v>
      </x:c>
      <x:c r="B10" s="202" t="str">
        <x:v>HC009</x:v>
      </x:c>
      <x:c r="C10" s="202" t="str">
        <x:v>Metacare Opti Lactoferrin 180ml - thùng 24 hộp</x:v>
      </x:c>
      <x:c r="D10" s="202" t="str">
        <x:v>Nutricare/MetaCare</x:v>
      </x:c>
      <x:c r="E10" s="202" t="str">
        <x:v>Mẹ &amp; Bé &gt; Sữa công thức &amp; Thực phẩm cho bé &gt; Sữa pha sẵn</x:v>
      </x:c>
      <x:c r="F10" s="203" t="n">
        <x:v>0.115</x:v>
      </x:c>
      <x:c r="G10" s="203" t="n">
        <x:v>0.085</x:v>
      </x:c>
      <x:c r="H10" s="203" t="n">
        <x:v>0.115</x:v>
      </x:c>
      <x:c r="I10" s="203" t="n">
        <x:v>0.145</x:v>
      </x:c>
      <x:c r="J10" s="203" t="n">
        <x:v>0.115</x:v>
      </x:c>
      <x:c r="K10" s="204" t="n">
        <x:v>432000</x:v>
      </x:c>
      <x:c r="L10" s="204"/>
      <x:c r="M10" s="204" t="n">
        <x:v>5000</x:v>
      </x:c>
      <x:c r="N10" s="204" t="n">
        <x:f>IF(L10&lt;&gt;"",L10+M10,IF(K10&lt;&gt;"",K10*SETTINGS!$B$4+M10,""))</x:f>
        <x:v>307400</x:v>
      </x:c>
      <x:c r="O10" s="202" t="str">
        <x:v>Hùng Cường</x:v>
      </x:c>
      <x:c r="P10" s="202" t="str">
        <x:v>Từ 1 tuổi</x:v>
      </x:c>
    </x:row>
    <x:row r="11">
      <x:c r="A11" s="202" t="str">
        <x:v>HC010 | Metacare 0+ 800g</x:v>
      </x:c>
      <x:c r="B11" s="202" t="str">
        <x:v>HC010</x:v>
      </x:c>
      <x:c r="C11" s="202" t="str">
        <x:v>Metacare 0+ 800g</x:v>
      </x:c>
      <x:c r="D11" s="202" t="str">
        <x:v>Nutricare/MetaCare</x:v>
      </x:c>
      <x:c r="E11" s="202" t="str">
        <x:v>Mẹ &amp; Bé &gt; Sữa công thức &amp; Thực phẩm cho bé &gt; Sữa công thức</x:v>
      </x:c>
      <x:c r="F11" s="203" t="n">
        <x:v>0.11</x:v>
      </x:c>
      <x:c r="G11" s="203" t="n">
        <x:v>0.08</x:v>
      </x:c>
      <x:c r="H11" s="203" t="n">
        <x:v>0.11</x:v>
      </x:c>
      <x:c r="I11" s="203" t="n">
        <x:v>0.125</x:v>
      </x:c>
      <x:c r="J11" s="203" t="n">
        <x:v>0.095</x:v>
      </x:c>
      <x:c r="K11" s="204" t="n">
        <x:v>395000</x:v>
      </x:c>
      <x:c r="L11" s="204"/>
      <x:c r="M11" s="204" t="n">
        <x:v>6000</x:v>
      </x:c>
      <x:c r="N11" s="204" t="n">
        <x:f>IF(L11&lt;&gt;"",L11+M11,IF(K11&lt;&gt;"",K11*SETTINGS!$B$4+M11,""))</x:f>
        <x:v>282500</x:v>
      </x:c>
      <x:c r="O11" s="202" t="str">
        <x:v>Hùng Cường</x:v>
      </x:c>
      <x:c r="P11" s="202" t="str">
        <x:v>0-12 tháng: nhạy cảm khi live/ads/voucher</x:v>
      </x:c>
    </x:row>
    <x:row r="12">
      <x:c r="A12" s="202" t="str">
        <x:v>HC011 | Metacare 1+ 850g</x:v>
      </x:c>
      <x:c r="B12" s="202" t="str">
        <x:v>HC011</x:v>
      </x:c>
      <x:c r="C12" s="202" t="str">
        <x:v>Metacare 1+ 850g</x:v>
      </x:c>
      <x:c r="D12" s="202" t="str">
        <x:v>Nutricare/MetaCare</x:v>
      </x:c>
      <x:c r="E12" s="202" t="str">
        <x:v>Mẹ &amp; Bé &gt; Sữa công thức &amp; Thực phẩm cho bé &gt; Sữa công thức</x:v>
      </x:c>
      <x:c r="F12" s="203" t="n">
        <x:v>0.11</x:v>
      </x:c>
      <x:c r="G12" s="203" t="n">
        <x:v>0.08</x:v>
      </x:c>
      <x:c r="H12" s="203" t="n">
        <x:v>0.11</x:v>
      </x:c>
      <x:c r="I12" s="203" t="n">
        <x:v>0.125</x:v>
      </x:c>
      <x:c r="J12" s="203" t="n">
        <x:v>0.095</x:v>
      </x:c>
      <x:c r="K12" s="204" t="n">
        <x:v>335000</x:v>
      </x:c>
      <x:c r="L12" s="204"/>
      <x:c r="M12" s="204" t="n">
        <x:v>6000</x:v>
      </x:c>
      <x:c r="N12" s="204" t="n">
        <x:f>IF(L12&lt;&gt;"",L12+M12,IF(K12&lt;&gt;"",K12*SETTINGS!$B$4+M12,""))</x:f>
        <x:v>240499.99999999997</x:v>
      </x:c>
      <x:c r="O12" s="202" t="str">
        <x:v>Hùng Cường</x:v>
      </x:c>
      <x:c r="P12" s="202" t="str">
        <x:v>1-2 tuổi</x:v>
      </x:c>
    </x:row>
    <x:row r="13">
      <x:c r="A13" s="202" t="str">
        <x:v>HC012 | Metacare 2+ 850g</x:v>
      </x:c>
      <x:c r="B13" s="202" t="str">
        <x:v>HC012</x:v>
      </x:c>
      <x:c r="C13" s="202" t="str">
        <x:v>Metacare 2+ 850g</x:v>
      </x:c>
      <x:c r="D13" s="202" t="str">
        <x:v>Nutricare/MetaCare</x:v>
      </x:c>
      <x:c r="E13" s="202" t="str">
        <x:v>Mẹ &amp; Bé &gt; Sữa công thức &amp; Thực phẩm cho bé &gt; Sữa công thức</x:v>
      </x:c>
      <x:c r="F13" s="203" t="n">
        <x:v>0.11</x:v>
      </x:c>
      <x:c r="G13" s="203" t="n">
        <x:v>0.08</x:v>
      </x:c>
      <x:c r="H13" s="203" t="n">
        <x:v>0.11</x:v>
      </x:c>
      <x:c r="I13" s="203" t="n">
        <x:v>0.125</x:v>
      </x:c>
      <x:c r="J13" s="203" t="n">
        <x:v>0.095</x:v>
      </x:c>
      <x:c r="K13" s="204" t="n">
        <x:v>345000</x:v>
      </x:c>
      <x:c r="L13" s="204"/>
      <x:c r="M13" s="204" t="n">
        <x:v>6000</x:v>
      </x:c>
      <x:c r="N13" s="204" t="n">
        <x:f>IF(L13&lt;&gt;"",L13+M13,IF(K13&lt;&gt;"",K13*SETTINGS!$B$4+M13,""))</x:f>
        <x:v>247499.99999999997</x:v>
      </x:c>
      <x:c r="O13" s="202" t="str">
        <x:v>Hùng Cường</x:v>
      </x:c>
      <x:c r="P13" s="202" t="str">
        <x:v>2-10 tuổi</x:v>
      </x:c>
    </x:row>
    <x:row r="14">
      <x:c r="A14" s="202" t="str">
        <x:v>HC013 | Metacare Opti 2+ 850g</x:v>
      </x:c>
      <x:c r="B14" s="202" t="str">
        <x:v>HC013</x:v>
      </x:c>
      <x:c r="C14" s="202" t="str">
        <x:v>Metacare Opti 2+ 850g</x:v>
      </x:c>
      <x:c r="D14" s="202" t="str">
        <x:v>Nutricare/MetaCare</x:v>
      </x:c>
      <x:c r="E14" s="202" t="str">
        <x:v>Mẹ &amp; Bé &gt; Sữa công thức &amp; Thực phẩm cho bé &gt; Sữa công thức</x:v>
      </x:c>
      <x:c r="F14" s="203" t="n">
        <x:v>0.11</x:v>
      </x:c>
      <x:c r="G14" s="203" t="n">
        <x:v>0.08</x:v>
      </x:c>
      <x:c r="H14" s="203" t="n">
        <x:v>0.11</x:v>
      </x:c>
      <x:c r="I14" s="203" t="n">
        <x:v>0.125</x:v>
      </x:c>
      <x:c r="J14" s="203" t="n">
        <x:v>0.095</x:v>
      </x:c>
      <x:c r="K14" s="204" t="n">
        <x:v>386000</x:v>
      </x:c>
      <x:c r="L14" s="204"/>
      <x:c r="M14" s="204" t="n">
        <x:v>6000</x:v>
      </x:c>
      <x:c r="N14" s="204" t="n">
        <x:f>IF(L14&lt;&gt;"",L14+M14,IF(K14&lt;&gt;"",K14*SETTINGS!$B$4+M14,""))</x:f>
        <x:v>276200</x:v>
      </x:c>
      <x:c r="O14" s="202" t="str">
        <x:v>Hùng Cường</x:v>
      </x:c>
      <x:c r="P14" s="202" t="str">
        <x:v>2-10 tuổi</x:v>
      </x:c>
    </x:row>
    <x:row r="15">
      <x:c r="A15" s="202" t="str">
        <x:v>HC014 | Smarta Grow Opti 3+ 850g</x:v>
      </x:c>
      <x:c r="B15" s="202" t="str">
        <x:v>HC014</x:v>
      </x:c>
      <x:c r="C15" s="202" t="str">
        <x:v>Smarta Grow Opti 3+ 850g</x:v>
      </x:c>
      <x:c r="D15" s="202" t="str">
        <x:v>Nutricare/Smarta Grow</x:v>
      </x:c>
      <x:c r="E15" s="202" t="str">
        <x:v>Mẹ &amp; Bé &gt; Sữa công thức &amp; Thực phẩm cho bé &gt; Sữa công thức</x:v>
      </x:c>
      <x:c r="F15" s="203" t="n">
        <x:v>0.11</x:v>
      </x:c>
      <x:c r="G15" s="203" t="n">
        <x:v>0.08</x:v>
      </x:c>
      <x:c r="H15" s="203" t="n">
        <x:v>0.11</x:v>
      </x:c>
      <x:c r="I15" s="203" t="n">
        <x:v>0.125</x:v>
      </x:c>
      <x:c r="J15" s="203" t="n">
        <x:v>0.095</x:v>
      </x:c>
      <x:c r="K15" s="204" t="n">
        <x:v>375000</x:v>
      </x:c>
      <x:c r="L15" s="204"/>
      <x:c r="M15" s="204" t="n">
        <x:v>6000</x:v>
      </x:c>
      <x:c r="N15" s="204" t="n">
        <x:f>IF(L15&lt;&gt;"",L15+M15,IF(K15&lt;&gt;"",K15*SETTINGS!$B$4+M15,""))</x:f>
        <x:v>268500</x:v>
      </x:c>
      <x:c r="O15" s="202" t="str">
        <x:v>Hùng Cường</x:v>
      </x:c>
      <x:c r="P15" s="202" t="str">
        <x:v>2-10 tuổi</x:v>
      </x:c>
    </x:row>
    <x:row r="16">
      <x:c r="A16" s="202" t="str">
        <x:v>HC015 | Hanie Kid 2+ 850g</x:v>
      </x:c>
      <x:c r="B16" s="202" t="str">
        <x:v>HC015</x:v>
      </x:c>
      <x:c r="C16" s="202" t="str">
        <x:v>Hanie Kid 2+ 850g</x:v>
      </x:c>
      <x:c r="D16" s="202" t="str">
        <x:v>Nutricare/Hanie Kid</x:v>
      </x:c>
      <x:c r="E16" s="202" t="str">
        <x:v>Mẹ &amp; Bé &gt; Sữa công thức &amp; Thực phẩm cho bé &gt; Sữa công thức</x:v>
      </x:c>
      <x:c r="F16" s="203" t="n">
        <x:v>0.11</x:v>
      </x:c>
      <x:c r="G16" s="203" t="n">
        <x:v>0.08</x:v>
      </x:c>
      <x:c r="H16" s="203" t="n">
        <x:v>0.11</x:v>
      </x:c>
      <x:c r="I16" s="203" t="n">
        <x:v>0.125</x:v>
      </x:c>
      <x:c r="J16" s="203" t="n">
        <x:v>0.095</x:v>
      </x:c>
      <x:c r="K16" s="204" t="n">
        <x:v>450000</x:v>
      </x:c>
      <x:c r="L16" s="204"/>
      <x:c r="M16" s="204" t="n">
        <x:v>6000</x:v>
      </x:c>
      <x:c r="N16" s="204" t="n">
        <x:f>IF(L16&lt;&gt;"",L16+M16,IF(K16&lt;&gt;"",K16*SETTINGS!$B$4+M16,""))</x:f>
        <x:v>321000</x:v>
      </x:c>
      <x:c r="O16" s="202" t="str">
        <x:v>Hùng Cường</x:v>
      </x:c>
      <x:c r="P16" s="202" t="str">
        <x:v>2-10 tuổi</x:v>
      </x:c>
    </x:row>
    <x:row r="17">
      <x:c r="A17" s="202" t="str">
        <x:v>HC016 | Colos 24h Grow Plus 2+ 850g</x:v>
      </x:c>
      <x:c r="B17" s="202" t="str">
        <x:v>HC016</x:v>
      </x:c>
      <x:c r="C17" s="202" t="str">
        <x:v>Colos 24h Grow Plus 2+ 850g</x:v>
      </x:c>
      <x:c r="D17" s="202" t="str">
        <x:v>Nutricare/Colos 24h</x:v>
      </x:c>
      <x:c r="E17" s="202" t="str">
        <x:v>Mẹ &amp; Bé &gt; Sữa công thức &amp; Thực phẩm cho bé &gt; Sữa công thức</x:v>
      </x:c>
      <x:c r="F17" s="203" t="n">
        <x:v>0.11</x:v>
      </x:c>
      <x:c r="G17" s="203" t="n">
        <x:v>0.08</x:v>
      </x:c>
      <x:c r="H17" s="203" t="n">
        <x:v>0.11</x:v>
      </x:c>
      <x:c r="I17" s="203" t="n">
        <x:v>0.125</x:v>
      </x:c>
      <x:c r="J17" s="203" t="n">
        <x:v>0.095</x:v>
      </x:c>
      <x:c r="K17" s="204" t="n">
        <x:v>381000</x:v>
      </x:c>
      <x:c r="L17" s="204"/>
      <x:c r="M17" s="204" t="n">
        <x:v>6000</x:v>
      </x:c>
      <x:c r="N17" s="204" t="n">
        <x:f>IF(L17&lt;&gt;"",L17+M17,IF(K17&lt;&gt;"",K17*SETTINGS!$B$4+M17,""))</x:f>
        <x:v>272700</x:v>
      </x:c>
      <x:c r="O17" s="202" t="str">
        <x:v>Hùng Cường</x:v>
      </x:c>
      <x:c r="P17" s="202" t="str">
        <x:v>2-10 tuổi</x:v>
      </x:c>
    </x:row>
    <x:row r="18">
      <x:c r="A18" s="202" t="str">
        <x:v>HC017 | Coloscare 24h 0+ 400g</x:v>
      </x:c>
      <x:c r="B18" s="202" t="str">
        <x:v>HC017</x:v>
      </x:c>
      <x:c r="C18" s="202" t="str">
        <x:v>Coloscare 24h 0+ 400g</x:v>
      </x:c>
      <x:c r="D18" s="202" t="str">
        <x:v>Nutricare/Coloscare</x:v>
      </x:c>
      <x:c r="E18" s="202" t="str">
        <x:v>Mẹ &amp; Bé &gt; Sữa công thức &amp; Thực phẩm cho bé &gt; Sữa công thức</x:v>
      </x:c>
      <x:c r="F18" s="203" t="n">
        <x:v>0.11</x:v>
      </x:c>
      <x:c r="G18" s="203" t="n">
        <x:v>0.08</x:v>
      </x:c>
      <x:c r="H18" s="203" t="n">
        <x:v>0.11</x:v>
      </x:c>
      <x:c r="I18" s="203" t="n">
        <x:v>0.125</x:v>
      </x:c>
      <x:c r="J18" s="203" t="n">
        <x:v>0.095</x:v>
      </x:c>
      <x:c r="K18" s="204" t="n">
        <x:v>289000</x:v>
      </x:c>
      <x:c r="L18" s="204"/>
      <x:c r="M18" s="204" t="n">
        <x:v>5000</x:v>
      </x:c>
      <x:c r="N18" s="204" t="n">
        <x:f>IF(L18&lt;&gt;"",L18+M18,IF(K18&lt;&gt;"",K18*SETTINGS!$B$4+M18,""))</x:f>
        <x:v>207300</x:v>
      </x:c>
      <x:c r="O18" s="202" t="str">
        <x:v>Hùng Cường</x:v>
      </x:c>
      <x:c r="P18" s="202" t="str">
        <x:v>0-12 tháng: nhạy cảm khi live/ads/voucher</x:v>
      </x:c>
    </x:row>
    <x:row r="19">
      <x:c r="A19" s="202" t="str">
        <x:v>HC018 | Coloscare 24h 2+ 800g</x:v>
      </x:c>
      <x:c r="B19" s="202" t="str">
        <x:v>HC018</x:v>
      </x:c>
      <x:c r="C19" s="202" t="str">
        <x:v>Coloscare 24h 2+ 800g</x:v>
      </x:c>
      <x:c r="D19" s="202" t="str">
        <x:v>Nutricare/Coloscare</x:v>
      </x:c>
      <x:c r="E19" s="202" t="str">
        <x:v>Mẹ &amp; Bé &gt; Sữa công thức &amp; Thực phẩm cho bé &gt; Sữa công thức</x:v>
      </x:c>
      <x:c r="F19" s="203" t="n">
        <x:v>0.11</x:v>
      </x:c>
      <x:c r="G19" s="203" t="n">
        <x:v>0.08</x:v>
      </x:c>
      <x:c r="H19" s="203" t="n">
        <x:v>0.11</x:v>
      </x:c>
      <x:c r="I19" s="203" t="n">
        <x:v>0.125</x:v>
      </x:c>
      <x:c r="J19" s="203" t="n">
        <x:v>0.095</x:v>
      </x:c>
      <x:c r="K19" s="204" t="n">
        <x:v>505000</x:v>
      </x:c>
      <x:c r="L19" s="204"/>
      <x:c r="M19" s="204" t="n">
        <x:v>6000</x:v>
      </x:c>
      <x:c r="N19" s="204" t="n">
        <x:f>IF(L19&lt;&gt;"",L19+M19,IF(K19&lt;&gt;"",K19*SETTINGS!$B$4+M19,""))</x:f>
        <x:v>359500</x:v>
      </x:c>
      <x:c r="O19" s="202" t="str">
        <x:v>Hùng Cường</x:v>
      </x:c>
      <x:c r="P19" s="202" t="str">
        <x:v>2-10 tuổi</x:v>
      </x:c>
    </x:row>
    <x:row r="20">
      <x:c r="A20" s="202" t="str">
        <x:v>HC019 | Hanie Kid pha sẵn - thùng 48 hộp</x:v>
      </x:c>
      <x:c r="B20" s="202" t="str">
        <x:v>HC019</x:v>
      </x:c>
      <x:c r="C20" s="202" t="str">
        <x:v>Hanie Kid pha sẵn - thùng 48 hộp</x:v>
      </x:c>
      <x:c r="D20" s="202" t="str">
        <x:v>Nutricare/Hanie Kid</x:v>
      </x:c>
      <x:c r="E20" s="202" t="str">
        <x:v>Mẹ &amp; Bé &gt; Sữa công thức &amp; Thực phẩm cho bé &gt; Sữa pha sẵn</x:v>
      </x:c>
      <x:c r="F20" s="203" t="n">
        <x:v>0.115</x:v>
      </x:c>
      <x:c r="G20" s="203" t="n">
        <x:v>0.085</x:v>
      </x:c>
      <x:c r="H20" s="203" t="n">
        <x:v>0.115</x:v>
      </x:c>
      <x:c r="I20" s="203" t="n">
        <x:v>0.145</x:v>
      </x:c>
      <x:c r="J20" s="203" t="n">
        <x:v>0.115</x:v>
      </x:c>
      <x:c r="K20" s="204" t="n">
        <x:v>460800</x:v>
      </x:c>
      <x:c r="L20" s="204"/>
      <x:c r="M20" s="204" t="n">
        <x:v>5000</x:v>
      </x:c>
      <x:c r="N20" s="204" t="n">
        <x:f>IF(L20&lt;&gt;"",L20+M20,IF(K20&lt;&gt;"",K20*SETTINGS!$B$4+M20,""))</x:f>
        <x:v>327560</x:v>
      </x:c>
      <x:c r="O20" s="202" t="str">
        <x:v>Hùng Cường</x:v>
      </x:c>
      <x:c r="P20" s="202" t="str">
        <x:v>Từ 1 tuổi</x:v>
      </x:c>
    </x:row>
    <x:row r="21">
      <x:c r="A21" s="202" t="str">
        <x:v>HC020 | Coloscare 24h pha sẵn - thùng 48 hộp</x:v>
      </x:c>
      <x:c r="B21" s="202" t="str">
        <x:v>HC020</x:v>
      </x:c>
      <x:c r="C21" s="202" t="str">
        <x:v>Coloscare 24h pha sẵn - thùng 48 hộp</x:v>
      </x:c>
      <x:c r="D21" s="202" t="str">
        <x:v>Nutricare/Coloscare</x:v>
      </x:c>
      <x:c r="E21" s="202" t="str">
        <x:v>Mẹ &amp; Bé &gt; Sữa công thức &amp; Thực phẩm cho bé &gt; Sữa pha sẵn</x:v>
      </x:c>
      <x:c r="F21" s="203" t="n">
        <x:v>0.115</x:v>
      </x:c>
      <x:c r="G21" s="203" t="n">
        <x:v>0.085</x:v>
      </x:c>
      <x:c r="H21" s="203" t="n">
        <x:v>0.115</x:v>
      </x:c>
      <x:c r="I21" s="203" t="n">
        <x:v>0.145</x:v>
      </x:c>
      <x:c r="J21" s="203" t="n">
        <x:v>0.115</x:v>
      </x:c>
      <x:c r="K21" s="204" t="n">
        <x:v>494400</x:v>
      </x:c>
      <x:c r="L21" s="204"/>
      <x:c r="M21" s="204" t="n">
        <x:v>5000</x:v>
      </x:c>
      <x:c r="N21" s="204" t="n">
        <x:f>IF(L21&lt;&gt;"",L21+M21,IF(K21&lt;&gt;"",K21*SETTINGS!$B$4+M21,""))</x:f>
        <x:v>351080</x:v>
      </x:c>
      <x:c r="O21" s="202" t="str">
        <x:v>Hùng Cường</x:v>
      </x:c>
      <x:c r="P21" s="202" t="str">
        <x:v>Từ 6 tháng: nhạy cảm khi live/ads/voucher</x:v>
      </x:c>
    </x:row>
    <x:row r="22">
      <x:c r="A22" s="202" t="str">
        <x:v>HC021 | Smarta Grow Opti trái cây - thùng 48 hộp</x:v>
      </x:c>
      <x:c r="B22" s="202" t="str">
        <x:v>HC021</x:v>
      </x:c>
      <x:c r="C22" s="202" t="str">
        <x:v>Smarta Grow Opti trái cây - thùng 48 hộp</x:v>
      </x:c>
      <x:c r="D22" s="202" t="str">
        <x:v>Nutricare/Smarta Grow</x:v>
      </x:c>
      <x:c r="E22" s="202" t="str">
        <x:v>Thực phẩm và đồ uống &gt; Sữa - trứng &gt; Sữa</x:v>
      </x:c>
      <x:c r="F22" s="203" t="n">
        <x:v>0.125</x:v>
      </x:c>
      <x:c r="G22" s="203" t="n">
        <x:v>0.095</x:v>
      </x:c>
      <x:c r="H22" s="203" t="n">
        <x:v>0.125</x:v>
      </x:c>
      <x:c r="I22" s="203" t="n">
        <x:v>0.16</x:v>
      </x:c>
      <x:c r="J22" s="203" t="n">
        <x:v>0.13</x:v>
      </x:c>
      <x:c r="K22" s="204" t="n">
        <x:v>232800</x:v>
      </x:c>
      <x:c r="L22" s="204"/>
      <x:c r="M22" s="204" t="n">
        <x:v>5000</x:v>
      </x:c>
      <x:c r="N22" s="204" t="n">
        <x:f>IF(L22&lt;&gt;"",L22+M22,IF(K22&lt;&gt;"",K22*SETTINGS!$B$4+M22,""))</x:f>
        <x:v>167960</x:v>
      </x:c>
      <x:c r="O22" s="202" t="str">
        <x:v>Hùng Cường</x:v>
      </x:c>
      <x:c r="P22" s="202" t="str">
        <x:v>Thức uống dinh dưỡng</x:v>
      </x:c>
    </x:row>
    <x:row r="23">
      <x:c r="A23" s="202" t="str">
        <x:v>HC022 | Nunut Lục Bảo - thùng 48 hộp 180ml</x:v>
      </x:c>
      <x:c r="B23" s="202" t="str">
        <x:v>HC022</x:v>
      </x:c>
      <x:c r="C23" s="202" t="str">
        <x:v>Nunut Lục Bảo - thùng 48 hộp 180ml</x:v>
      </x:c>
      <x:c r="D23" s="202" t="str">
        <x:v>Nutricare/Nunut</x:v>
      </x:c>
      <x:c r="E23" s="202" t="str">
        <x:v>Thực phẩm và đồ uống &gt; Sữa - trứng &gt; Sữa</x:v>
      </x:c>
      <x:c r="F23" s="203" t="n">
        <x:v>0.125</x:v>
      </x:c>
      <x:c r="G23" s="203" t="n">
        <x:v>0.095</x:v>
      </x:c>
      <x:c r="H23" s="203" t="n">
        <x:v>0.125</x:v>
      </x:c>
      <x:c r="I23" s="203" t="n">
        <x:v>0.16</x:v>
      </x:c>
      <x:c r="J23" s="203" t="n">
        <x:v>0.13</x:v>
      </x:c>
      <x:c r="K23" s="204" t="n">
        <x:v>374400</x:v>
      </x:c>
      <x:c r="L23" s="204"/>
      <x:c r="M23" s="204" t="n">
        <x:v>5000</x:v>
      </x:c>
      <x:c r="N23" s="204" t="n">
        <x:f>IF(L23&lt;&gt;"",L23+M23,IF(K23&lt;&gt;"",K23*SETTINGS!$B$4+M23,""))</x:f>
        <x:v>267080</x:v>
      </x:c>
      <x:c r="O23" s="202" t="str">
        <x:v>Hùng Cường</x:v>
      </x:c>
      <x:c r="P23" s="202" t="str">
        <x:v>Sữa hạt</x:v>
      </x:c>
    </x:row>
    <x:row r="24">
      <x:c r="A24" s="202" t="str">
        <x:v>HC023 | Nutricare Gold 850g</x:v>
      </x:c>
      <x:c r="B24" s="202" t="str">
        <x:v>HC023</x:v>
      </x:c>
      <x:c r="C24" s="202" t="str">
        <x:v>Nutricare Gold 850g</x:v>
      </x:c>
      <x:c r="D24" s="202" t="str">
        <x:v>Nutricare Dinh dưỡng y học</x:v>
      </x:c>
      <x:c r="E24" s="202" t="str">
        <x:v>Sức Khỏe &gt; Thực phẩm chức năng &gt; Hỗ trợ sức khỏe</x:v>
      </x:c>
      <x:c r="F24" s="203" t="n">
        <x:v>0.17</x:v>
      </x:c>
      <x:c r="G24" s="203" t="n">
        <x:v>0.14</x:v>
      </x:c>
      <x:c r="H24" s="203" t="n">
        <x:v>0.17</x:v>
      </x:c>
      <x:c r="I24" s="203" t="n">
        <x:v>0.19</x:v>
      </x:c>
      <x:c r="J24" s="203" t="n">
        <x:v>0.16</x:v>
      </x:c>
      <x:c r="K24" s="204" t="n">
        <x:v>521000</x:v>
      </x:c>
      <x:c r="L24" s="204"/>
      <x:c r="M24" s="204" t="n">
        <x:v>6000</x:v>
      </x:c>
      <x:c r="N24" s="204" t="n">
        <x:f>IF(L24&lt;&gt;"",L24+M24,IF(K24&lt;&gt;"",K24*SETTINGS!$B$4+M24,""))</x:f>
        <x:v>370700</x:v>
      </x:c>
      <x:c r="O24" s="202" t="str">
        <x:v>Hùng Cường</x:v>
      </x:c>
      <x:c r="P24" s="202" t="str">
        <x:v>Người lớn/dinh dưỡng y học: kiểm soát claim</x:v>
      </x:c>
    </x:row>
    <x:row r="25">
      <x:c r="A25" s="202" t="str">
        <x:v>HC024 | Colos Glucare 800g</x:v>
      </x:c>
      <x:c r="B25" s="202" t="str">
        <x:v>HC024</x:v>
      </x:c>
      <x:c r="C25" s="202" t="str">
        <x:v>Colos Glucare 800g</x:v>
      </x:c>
      <x:c r="D25" s="202" t="str">
        <x:v>Nutricare Dinh dưỡng y học</x:v>
      </x:c>
      <x:c r="E25" s="202" t="str">
        <x:v>Sức Khỏe &gt; Thực phẩm chức năng &gt; Hỗ trợ sức khỏe</x:v>
      </x:c>
      <x:c r="F25" s="203" t="n">
        <x:v>0.17</x:v>
      </x:c>
      <x:c r="G25" s="203" t="n">
        <x:v>0.14</x:v>
      </x:c>
      <x:c r="H25" s="203" t="n">
        <x:v>0.17</x:v>
      </x:c>
      <x:c r="I25" s="203" t="n">
        <x:v>0.19</x:v>
      </x:c>
      <x:c r="J25" s="203" t="n">
        <x:v>0.16</x:v>
      </x:c>
      <x:c r="K25" s="204" t="n">
        <x:v>557000</x:v>
      </x:c>
      <x:c r="L25" s="204"/>
      <x:c r="M25" s="204" t="n">
        <x:v>6000</x:v>
      </x:c>
      <x:c r="N25" s="204" t="n">
        <x:f>IF(L25&lt;&gt;"",L25+M25,IF(K25&lt;&gt;"",K25*SETTINGS!$B$4+M25,""))</x:f>
        <x:v>395900</x:v>
      </x:c>
      <x:c r="O25" s="202" t="str">
        <x:v>Hùng Cường</x:v>
      </x:c>
      <x:c r="P25" s="202" t="str">
        <x:v>Đái tháo đường: kiểm soát claim</x:v>
      </x:c>
    </x:row>
    <x:row r="26">
      <x:c r="A26" s="202" t="str">
        <x:v>HC025 | Glucare Gold 850g</x:v>
      </x:c>
      <x:c r="B26" s="202" t="str">
        <x:v>HC025</x:v>
      </x:c>
      <x:c r="C26" s="202" t="str">
        <x:v>Glucare Gold 850g</x:v>
      </x:c>
      <x:c r="D26" s="202" t="str">
        <x:v>Nutricare Dinh dưỡng y học</x:v>
      </x:c>
      <x:c r="E26" s="202" t="str">
        <x:v>Sức Khỏe &gt; Thực phẩm chức năng &gt; Hỗ trợ sức khỏe</x:v>
      </x:c>
      <x:c r="F26" s="203" t="n">
        <x:v>0.17</x:v>
      </x:c>
      <x:c r="G26" s="203" t="n">
        <x:v>0.14</x:v>
      </x:c>
      <x:c r="H26" s="203" t="n">
        <x:v>0.17</x:v>
      </x:c>
      <x:c r="I26" s="203" t="n">
        <x:v>0.19</x:v>
      </x:c>
      <x:c r="J26" s="203" t="n">
        <x:v>0.16</x:v>
      </x:c>
      <x:c r="K26" s="204" t="n">
        <x:v>529000</x:v>
      </x:c>
      <x:c r="L26" s="204"/>
      <x:c r="M26" s="204" t="n">
        <x:v>6000</x:v>
      </x:c>
      <x:c r="N26" s="204" t="n">
        <x:f>IF(L26&lt;&gt;"",L26+M26,IF(K26&lt;&gt;"",K26*SETTINGS!$B$4+M26,""))</x:f>
        <x:v>376300</x:v>
      </x:c>
      <x:c r="O26" s="202" t="str">
        <x:v>Hùng Cường</x:v>
      </x:c>
      <x:c r="P26" s="202" t="str">
        <x:v>Đái tháo đường: kiểm soát claim</x:v>
      </x:c>
    </x:row>
    <x:row r="27">
      <x:c r="A27" s="202" t="str">
        <x:v>HC026 | Nutricare Fine 900g</x:v>
      </x:c>
      <x:c r="B27" s="202" t="str">
        <x:v>HC026</x:v>
      </x:c>
      <x:c r="C27" s="202" t="str">
        <x:v>Nutricare Fine 900g</x:v>
      </x:c>
      <x:c r="D27" s="202" t="str">
        <x:v>Nutricare Dinh dưỡng y học</x:v>
      </x:c>
      <x:c r="E27" s="202" t="str">
        <x:v>Sức Khỏe &gt; Thực phẩm chức năng &gt; Hỗ trợ sức khỏe</x:v>
      </x:c>
      <x:c r="F27" s="203" t="n">
        <x:v>0.17</x:v>
      </x:c>
      <x:c r="G27" s="203" t="n">
        <x:v>0.14</x:v>
      </x:c>
      <x:c r="H27" s="203" t="n">
        <x:v>0.17</x:v>
      </x:c>
      <x:c r="I27" s="203" t="n">
        <x:v>0.19</x:v>
      </x:c>
      <x:c r="J27" s="203" t="n">
        <x:v>0.16</x:v>
      </x:c>
      <x:c r="K27" s="204" t="n">
        <x:v>581000</x:v>
      </x:c>
      <x:c r="L27" s="204"/>
      <x:c r="M27" s="204" t="n">
        <x:v>6000</x:v>
      </x:c>
      <x:c r="N27" s="204" t="n">
        <x:f>IF(L27&lt;&gt;"",L27+M27,IF(K27&lt;&gt;"",K27*SETTINGS!$B$4+M27,""))</x:f>
        <x:v>412700</x:v>
      </x:c>
      <x:c r="O27" s="202" t="str">
        <x:v>Hùng Cường</x:v>
      </x:c>
      <x:c r="P27" s="202" t="str">
        <x:v>Người bệnh/ung thư: kiểm soát claim</x:v>
      </x:c>
    </x:row>
    <x:row r="28">
      <x:c r="A28" s="202" t="str">
        <x:v>HC027 | Nunest Kid 15% yến</x:v>
      </x:c>
      <x:c r="B28" s="202" t="str">
        <x:v>HC027</x:v>
      </x:c>
      <x:c r="C28" s="202" t="str">
        <x:v>Nunest Kid 15% yến</x:v>
      </x:c>
      <x:c r="D28" s="202" t="str">
        <x:v>Nunest</x:v>
      </x:c>
      <x:c r="E28" s="202" t="str">
        <x:v>Thực phẩm và đồ uống &gt; Đồ uống &gt; Khác</x:v>
      </x:c>
      <x:c r="F28" s="203" t="n">
        <x:v>0.125</x:v>
      </x:c>
      <x:c r="G28" s="203" t="n">
        <x:v>0.095</x:v>
      </x:c>
      <x:c r="H28" s="203" t="n">
        <x:v>0.125</x:v>
      </x:c>
      <x:c r="I28" s="203" t="n">
        <x:v>0.16</x:v>
      </x:c>
      <x:c r="J28" s="203" t="n">
        <x:v>0.13</x:v>
      </x:c>
      <x:c r="K28" s="204"/>
      <x:c r="L28" s="204"/>
      <x:c r="M28" s="204" t="n">
        <x:v>5000</x:v>
      </x:c>
      <x:c r="N28" s="204" t="str">
        <x:f>IF(L28&lt;&gt;"",L28+M28,IF(K28&lt;&gt;"",K28*SETTINGS!$B$4+M28,""))</x:f>
      </x:c>
      <x:c r="O28" s="202" t="str">
        <x:v>Hùng Cường / file đào tạo SP</x:v>
      </x:c>
      <x:c r="P28" s="202" t="str">
        <x:v>Giá liên hệ - nhập giá bán thực tế</x:v>
      </x:c>
    </x:row>
    <x:row r="29">
      <x:c r="A29" s="202" t="str">
        <x:v>HC028 | Nunest Ngọc Lục Bảo 26% yến</x:v>
      </x:c>
      <x:c r="B29" s="202" t="str">
        <x:v>HC028</x:v>
      </x:c>
      <x:c r="C29" s="202" t="str">
        <x:v>Nunest Ngọc Lục Bảo 26% yến</x:v>
      </x:c>
      <x:c r="D29" s="202" t="str">
        <x:v>Nunest</x:v>
      </x:c>
      <x:c r="E29" s="202" t="str">
        <x:v>Sức Khỏe &gt; Thực phẩm chức năng &gt; Hỗ trợ sức khỏe</x:v>
      </x:c>
      <x:c r="F29" s="203" t="n">
        <x:v>0.17</x:v>
      </x:c>
      <x:c r="G29" s="203" t="n">
        <x:v>0.14</x:v>
      </x:c>
      <x:c r="H29" s="203" t="n">
        <x:v>0.17</x:v>
      </x:c>
      <x:c r="I29" s="203" t="n">
        <x:v>0.19</x:v>
      </x:c>
      <x:c r="J29" s="203" t="n">
        <x:v>0.16</x:v>
      </x:c>
      <x:c r="K29" s="204"/>
      <x:c r="L29" s="204"/>
      <x:c r="M29" s="204" t="n">
        <x:v>5000</x:v>
      </x:c>
      <x:c r="N29" s="204" t="str">
        <x:f>IF(L29&lt;&gt;"",L29+M29,IF(K29&lt;&gt;"",K29*SETTINGS!$B$4+M29,""))</x:f>
      </x:c>
      <x:c r="O29" s="202" t="str">
        <x:v>Hùng Cường / file đào tạo SP</x:v>
      </x:c>
      <x:c r="P29" s="202" t="str">
        <x:v>Giá liên hệ - claim sức khỏe mạnh</x:v>
      </x:c>
    </x:row>
    <x:row r="30">
      <x:c r="A30" s="202" t="str">
        <x:v>HC029 | Nunest Relax Đông Trùng Hạ Thảo</x:v>
      </x:c>
      <x:c r="B30" s="202" t="str">
        <x:v>HC029</x:v>
      </x:c>
      <x:c r="C30" s="202" t="str">
        <x:v>Nunest Relax Đông Trùng Hạ Thảo</x:v>
      </x:c>
      <x:c r="D30" s="202" t="str">
        <x:v>Nunest</x:v>
      </x:c>
      <x:c r="E30" s="202" t="str">
        <x:v>Sức Khỏe &gt; Thực phẩm chức năng &gt; Hỗ trợ sức khỏe</x:v>
      </x:c>
      <x:c r="F30" s="203" t="n">
        <x:v>0.17</x:v>
      </x:c>
      <x:c r="G30" s="203" t="n">
        <x:v>0.14</x:v>
      </x:c>
      <x:c r="H30" s="203" t="n">
        <x:v>0.17</x:v>
      </x:c>
      <x:c r="I30" s="203" t="n">
        <x:v>0.19</x:v>
      </x:c>
      <x:c r="J30" s="203" t="n">
        <x:v>0.16</x:v>
      </x:c>
      <x:c r="K30" s="204"/>
      <x:c r="L30" s="204"/>
      <x:c r="M30" s="204" t="n">
        <x:v>5000</x:v>
      </x:c>
      <x:c r="N30" s="204" t="str">
        <x:f>IF(L30&lt;&gt;"",L30+M30,IF(K30&lt;&gt;"",K30*SETTINGS!$B$4+M30,""))</x:f>
      </x:c>
      <x:c r="O30" s="202" t="str">
        <x:v>Hùng Cường / file đào tạo SP</x:v>
      </x:c>
      <x:c r="P30" s="202" t="str">
        <x:v>Giá liên hệ - claim ngủ ngon/giảm stress</x:v>
      </x:c>
    </x:row>
    <x:row r="31">
      <x:c r="A31" s="202" t="str">
        <x:v>HC030 | Nước yến lon Nunest</x:v>
      </x:c>
      <x:c r="B31" s="202" t="str">
        <x:v>HC030</x:v>
      </x:c>
      <x:c r="C31" s="202" t="str">
        <x:v>Nước yến lon Nunest</x:v>
      </x:c>
      <x:c r="D31" s="202" t="str">
        <x:v>Nunest</x:v>
      </x:c>
      <x:c r="E31" s="202" t="str">
        <x:v>Thực phẩm và đồ uống &gt; Đồ uống &gt; Khác</x:v>
      </x:c>
      <x:c r="F31" s="203" t="n">
        <x:v>0.125</x:v>
      </x:c>
      <x:c r="G31" s="203" t="n">
        <x:v>0.095</x:v>
      </x:c>
      <x:c r="H31" s="203" t="n">
        <x:v>0.125</x:v>
      </x:c>
      <x:c r="I31" s="203" t="n">
        <x:v>0.16</x:v>
      </x:c>
      <x:c r="J31" s="203" t="n">
        <x:v>0.13</x:v>
      </x:c>
      <x:c r="K31" s="204"/>
      <x:c r="L31" s="204"/>
      <x:c r="M31" s="204" t="n">
        <x:v>5000</x:v>
      </x:c>
      <x:c r="N31" s="204" t="str">
        <x:f>IF(L31&lt;&gt;"",L31+M31,IF(K31&lt;&gt;"",K31*SETTINGS!$B$4+M31,""))</x:f>
      </x:c>
      <x:c r="O31" s="202" t="str">
        <x:v>Hùng Cường / file đào tạo SP</x:v>
      </x:c>
      <x:c r="P31" s="202" t="str">
        <x:v>Giá liên hệ - nhập giá bán thực tế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50" hidden="0" customWidth="1"/>
    <x:col min="5" max="5" width="22" hidden="0" customWidth="1"/>
    <x:col min="6" max="6" width="18" hidden="0" customWidth="1"/>
    <x:col min="7" max="7" width="36" hidden="0" customWidth="1"/>
  </x:cols>
  <x:sheetData>
    <x:row r="1">
      <x:c r="A1" s="207" t="str">
        <x:v>Thông số</x:v>
      </x:c>
      <x:c r="B1" s="207" t="str">
        <x:v>Giá trị</x:v>
      </x:c>
      <x:c r="C1" s="207" t="str">
        <x:v>Ghi chú</x:v>
      </x:c>
      <x:c r="E1" s="207" t="str">
        <x:v>BẢNG MÀU ÁP DỤNG</x:v>
      </x:c>
      <x:c r="F1" s="207"/>
      <x:c r="G1" s="207"/>
    </x:row>
    <x:row r="2">
      <x:c r="A2" s="64" t="str">
        <x:v>Phí giao dịch</x:v>
      </x:c>
      <x:c r="B2" s="98" t="n">
        <x:v>0.06</x:v>
      </x:c>
      <x:c r="C2" s="64" t="str">
        <x:v>Shopee: phí xử lý giao dịch 6%</x:v>
      </x:c>
      <x:c r="E2" s="218" t="str">
        <x:v>Hùng Cường Đỏ</x:v>
      </x:c>
      <x:c r="F2" s="220" t="str">
        <x:v>#E31B23</x:v>
      </x:c>
      <x:c r="G2" s="218" t="str">
        <x:v>Logo/banner Hùng Cường</x:v>
      </x:c>
    </x:row>
    <x:row r="3">
      <x:c r="A3" s="212" t="str">
        <x:v>Phí hạ tầng/đơn</x:v>
      </x:c>
      <x:c r="B3" s="213" t="n">
        <x:v>3000</x:v>
      </x:c>
      <x:c r="C3" s="212" t="str">
        <x:v>Mặc định 3.000đ/đơn</x:v>
      </x:c>
      <x:c r="E3" s="218" t="str">
        <x:v>Hùng Cường Đen</x:v>
      </x:c>
      <x:c r="F3" s="222" t="str">
        <x:v>#111111</x:v>
      </x:c>
      <x:c r="G3" s="218" t="str">
        <x:v>Logo Hùng Cường</x:v>
      </x:c>
    </x:row>
    <x:row r="4">
      <x:c r="A4" s="214" t="str">
        <x:v>Tỷ lệ giá vốn tạm tính</x:v>
      </x:c>
      <x:c r="B4" s="215" t="n">
        <x:v>0.7</x:v>
      </x:c>
      <x:c r="C4" s="214" t="str">
        <x:v>Chỉ dùng nếu DATA chưa nhập giá vốn thật</x:v>
      </x:c>
      <x:c r="E4" s="218" t="str">
        <x:v>Nutricare Blue</x:v>
      </x:c>
      <x:c r="F4" s="224" t="str">
        <x:v>#0057A8</x:v>
      </x:c>
      <x:c r="G4" s="218" t="str">
        <x:v>Logo Nutricare</x:v>
      </x:c>
    </x:row>
    <x:row r="5">
      <x:c r="A5" s="214" t="str">
        <x:v>Ngưỡng cảnh báo biên LN thấp</x:v>
      </x:c>
      <x:c r="B5" s="215" t="n">
        <x:v>0.1</x:v>
      </x:c>
      <x:c r="C5" s="214" t="str">
        <x:v>Dưới mức này báo LÃI THẤP</x:v>
      </x:c>
      <x:c r="E5" s="218" t="str">
        <x:v>Xanh nền nhạt</x:v>
      </x:c>
      <x:c r="F5" s="226" t="str">
        <x:v>#DFF6FF</x:v>
      </x:c>
      <x:c r="G5" s="218" t="str">
        <x:v>Nền banner/nhận diện dinh dưỡng</x:v>
      </x:c>
    </x:row>
    <x:row r="6">
      <x:c r="E6" s="218" t="str">
        <x:v>Gold accent</x:v>
      </x:c>
      <x:c r="F6" s="228" t="str">
        <x:v>#F4B400</x:v>
      </x:c>
      <x:c r="G6" s="218" t="str">
        <x:v>Nunest/sản phẩm cao cấp</x:v>
      </x:c>
    </x:row>
    <x:row r="7">
      <x:c r="E7" s="218" t="str">
        <x:v>Nguồn tham chiếu</x:v>
      </x:c>
      <x:c r="F7" s="218" t="str">
        <x:v>hungcuongcompany.com</x:v>
      </x:c>
      <x:c r="G7" s="218" t="str">
        <x:v>logo &amp; banner công khai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0" hidden="0" customWidth="1"/>
    <x:col min="3" max="3" width="45" hidden="0" customWidth="1"/>
  </x:cols>
  <x:sheetData>
    <x:row r="1">
      <x:c r="A1" s="207" t="str">
        <x:v>BƯỚC</x:v>
      </x:c>
      <x:c r="B1" s="207" t="str">
        <x:v>NGƯỜI DÙNG LÀM GÌ?</x:v>
      </x:c>
      <x:c r="C1" s="207" t="str">
        <x:v>GHI CHÚ</x:v>
      </x:c>
    </x:row>
    <x:row r="2">
      <x:c r="A2" s="92" t="str">
        <x:v>1</x:v>
      </x:c>
      <x:c r="B2" s="92" t="str">
        <x:v>Chọn sản phẩm ở cột B sheet BANG_TINH</x:v>
      </x:c>
      <x:c r="C2" s="92" t="str">
        <x:v>Dropdown lấy từ DATA</x:v>
      </x:c>
    </x:row>
    <x:row r="3">
      <x:c r="A3" s="231" t="str">
        <x:v>2</x:v>
      </x:c>
      <x:c r="B3" s="231" t="str">
        <x:v>Chọn Shop ở cột C: Marketplace hoặc Mall</x:v>
      </x:c>
      <x:c r="C3" s="231" t="str">
        <x:v>File tự đổi % HH áp dụng</x:v>
      </x:c>
    </x:row>
    <x:row r="4">
      <x:c r="A4" s="232" t="str">
        <x:v>3</x:v>
      </x:c>
      <x:c r="B4" s="232" t="str">
        <x:v>Nhập Voucher shop, Affiliate %, Ads/order, Ship/khác nếu có</x:v>
      </x:c>
      <x:c r="C4" s="232" t="str">
        <x:v>Các cột còn lại tự tính</x:v>
      </x:c>
    </x:row>
    <x:row r="5">
      <x:c r="A5" s="232" t="str">
        <x:v>4</x:v>
      </x:c>
      <x:c r="B5" s="232" t="str">
        <x:v>Xem Tổng phí Shopee, Tổng chi phí, Lãi ròng, Biên LN, Cảnh báo</x:v>
      </x:c>
      <x:c r="C5" s="232" t="str">
        <x:v>Cảnh báo tự tính theo biên lợi nhuận</x:v>
      </x:c>
    </x:row>
    <x:row r="6">
      <x:c r="A6" s="232" t="str">
        <x:v>5</x:v>
      </x:c>
      <x:c r="B6" s="232" t="str">
        <x:v>Khi có giá vốn thật, nhập vào DATA cột Giá vốn nhập</x:v>
      </x:c>
      <x:c r="C6" s="232" t="str">
        <x:v>Nếu chưa có, file tạm tính 70% giá bán + đóng gói</x:v>
      </x:c>
    </x:row>
  </x:sheetData>
  <x:pageMargins left="0.7" right="0.7" top="0.75" bottom="0.75" header="0.3" footer="0.3"/>
</x:worksheet>
</file>