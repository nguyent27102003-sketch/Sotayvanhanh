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171E91B-E0D4-48D4-A2E9-A129353D51E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ÍNH LÃI LỖ" sheetId="1" r:id="rId1"/>
    <sheet name="DATA PHÍ &amp; SẢN PHẨM" sheetId="2" r:id="rId2"/>
    <sheet name="HƯỚNG DẪ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0" i="2" l="1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T200" i="1"/>
  <c r="S200" i="1"/>
  <c r="R200" i="1"/>
  <c r="Q200" i="1"/>
  <c r="P200" i="1"/>
  <c r="O200" i="1"/>
  <c r="N200" i="1"/>
  <c r="M200" i="1"/>
  <c r="L200" i="1"/>
  <c r="K200" i="1"/>
  <c r="G200" i="1"/>
  <c r="F200" i="1"/>
  <c r="T199" i="1"/>
  <c r="S199" i="1"/>
  <c r="R199" i="1"/>
  <c r="Q199" i="1"/>
  <c r="P199" i="1"/>
  <c r="O199" i="1"/>
  <c r="N199" i="1"/>
  <c r="M199" i="1"/>
  <c r="L199" i="1"/>
  <c r="K199" i="1"/>
  <c r="G199" i="1"/>
  <c r="F199" i="1"/>
  <c r="T198" i="1"/>
  <c r="S198" i="1"/>
  <c r="R198" i="1"/>
  <c r="Q198" i="1"/>
  <c r="P198" i="1"/>
  <c r="O198" i="1"/>
  <c r="N198" i="1"/>
  <c r="M198" i="1"/>
  <c r="L198" i="1"/>
  <c r="K198" i="1"/>
  <c r="G198" i="1"/>
  <c r="F198" i="1"/>
  <c r="T197" i="1"/>
  <c r="S197" i="1"/>
  <c r="R197" i="1"/>
  <c r="Q197" i="1"/>
  <c r="P197" i="1"/>
  <c r="O197" i="1"/>
  <c r="N197" i="1"/>
  <c r="M197" i="1"/>
  <c r="L197" i="1"/>
  <c r="K197" i="1"/>
  <c r="G197" i="1"/>
  <c r="F197" i="1"/>
  <c r="T196" i="1"/>
  <c r="S196" i="1"/>
  <c r="R196" i="1"/>
  <c r="Q196" i="1"/>
  <c r="P196" i="1"/>
  <c r="O196" i="1"/>
  <c r="N196" i="1"/>
  <c r="M196" i="1"/>
  <c r="L196" i="1"/>
  <c r="K196" i="1"/>
  <c r="G196" i="1"/>
  <c r="F196" i="1"/>
  <c r="T195" i="1"/>
  <c r="S195" i="1"/>
  <c r="R195" i="1"/>
  <c r="Q195" i="1"/>
  <c r="P195" i="1"/>
  <c r="O195" i="1"/>
  <c r="N195" i="1"/>
  <c r="M195" i="1"/>
  <c r="L195" i="1"/>
  <c r="K195" i="1"/>
  <c r="G195" i="1"/>
  <c r="F195" i="1"/>
  <c r="T194" i="1"/>
  <c r="S194" i="1"/>
  <c r="R194" i="1"/>
  <c r="Q194" i="1"/>
  <c r="P194" i="1"/>
  <c r="O194" i="1"/>
  <c r="N194" i="1"/>
  <c r="M194" i="1"/>
  <c r="L194" i="1"/>
  <c r="K194" i="1"/>
  <c r="G194" i="1"/>
  <c r="F194" i="1"/>
  <c r="T193" i="1"/>
  <c r="S193" i="1"/>
  <c r="R193" i="1"/>
  <c r="Q193" i="1"/>
  <c r="P193" i="1"/>
  <c r="O193" i="1"/>
  <c r="N193" i="1"/>
  <c r="M193" i="1"/>
  <c r="L193" i="1"/>
  <c r="K193" i="1"/>
  <c r="G193" i="1"/>
  <c r="F193" i="1"/>
  <c r="T192" i="1"/>
  <c r="S192" i="1"/>
  <c r="R192" i="1"/>
  <c r="Q192" i="1"/>
  <c r="P192" i="1"/>
  <c r="O192" i="1"/>
  <c r="N192" i="1"/>
  <c r="M192" i="1"/>
  <c r="L192" i="1"/>
  <c r="K192" i="1"/>
  <c r="G192" i="1"/>
  <c r="F192" i="1"/>
  <c r="T191" i="1"/>
  <c r="S191" i="1"/>
  <c r="R191" i="1"/>
  <c r="Q191" i="1"/>
  <c r="P191" i="1"/>
  <c r="O191" i="1"/>
  <c r="N191" i="1"/>
  <c r="M191" i="1"/>
  <c r="L191" i="1"/>
  <c r="K191" i="1"/>
  <c r="G191" i="1"/>
  <c r="F191" i="1"/>
  <c r="T190" i="1"/>
  <c r="S190" i="1"/>
  <c r="R190" i="1"/>
  <c r="Q190" i="1"/>
  <c r="P190" i="1"/>
  <c r="O190" i="1"/>
  <c r="N190" i="1"/>
  <c r="M190" i="1"/>
  <c r="L190" i="1"/>
  <c r="K190" i="1"/>
  <c r="G190" i="1"/>
  <c r="F190" i="1"/>
  <c r="T189" i="1"/>
  <c r="S189" i="1"/>
  <c r="R189" i="1"/>
  <c r="Q189" i="1"/>
  <c r="P189" i="1"/>
  <c r="O189" i="1"/>
  <c r="N189" i="1"/>
  <c r="M189" i="1"/>
  <c r="L189" i="1"/>
  <c r="K189" i="1"/>
  <c r="G189" i="1"/>
  <c r="F189" i="1"/>
  <c r="T188" i="1"/>
  <c r="S188" i="1"/>
  <c r="R188" i="1"/>
  <c r="Q188" i="1"/>
  <c r="P188" i="1"/>
  <c r="O188" i="1"/>
  <c r="N188" i="1"/>
  <c r="M188" i="1"/>
  <c r="L188" i="1"/>
  <c r="K188" i="1"/>
  <c r="G188" i="1"/>
  <c r="F188" i="1"/>
  <c r="T187" i="1"/>
  <c r="S187" i="1"/>
  <c r="R187" i="1"/>
  <c r="Q187" i="1"/>
  <c r="P187" i="1"/>
  <c r="O187" i="1"/>
  <c r="N187" i="1"/>
  <c r="M187" i="1"/>
  <c r="L187" i="1"/>
  <c r="K187" i="1"/>
  <c r="G187" i="1"/>
  <c r="F187" i="1"/>
  <c r="T186" i="1"/>
  <c r="S186" i="1"/>
  <c r="R186" i="1"/>
  <c r="Q186" i="1"/>
  <c r="P186" i="1"/>
  <c r="O186" i="1"/>
  <c r="N186" i="1"/>
  <c r="M186" i="1"/>
  <c r="L186" i="1"/>
  <c r="K186" i="1"/>
  <c r="G186" i="1"/>
  <c r="F186" i="1"/>
  <c r="T185" i="1"/>
  <c r="S185" i="1"/>
  <c r="R185" i="1"/>
  <c r="Q185" i="1"/>
  <c r="P185" i="1"/>
  <c r="O185" i="1"/>
  <c r="N185" i="1"/>
  <c r="M185" i="1"/>
  <c r="L185" i="1"/>
  <c r="K185" i="1"/>
  <c r="G185" i="1"/>
  <c r="F185" i="1"/>
  <c r="T184" i="1"/>
  <c r="S184" i="1"/>
  <c r="R184" i="1"/>
  <c r="Q184" i="1"/>
  <c r="P184" i="1"/>
  <c r="O184" i="1"/>
  <c r="N184" i="1"/>
  <c r="M184" i="1"/>
  <c r="L184" i="1"/>
  <c r="K184" i="1"/>
  <c r="G184" i="1"/>
  <c r="F184" i="1"/>
  <c r="T183" i="1"/>
  <c r="S183" i="1"/>
  <c r="R183" i="1"/>
  <c r="Q183" i="1"/>
  <c r="P183" i="1"/>
  <c r="O183" i="1"/>
  <c r="N183" i="1"/>
  <c r="M183" i="1"/>
  <c r="L183" i="1"/>
  <c r="K183" i="1"/>
  <c r="G183" i="1"/>
  <c r="F183" i="1"/>
  <c r="T182" i="1"/>
  <c r="S182" i="1"/>
  <c r="R182" i="1"/>
  <c r="Q182" i="1"/>
  <c r="P182" i="1"/>
  <c r="O182" i="1"/>
  <c r="N182" i="1"/>
  <c r="M182" i="1"/>
  <c r="L182" i="1"/>
  <c r="K182" i="1"/>
  <c r="G182" i="1"/>
  <c r="F182" i="1"/>
  <c r="T181" i="1"/>
  <c r="S181" i="1"/>
  <c r="R181" i="1"/>
  <c r="Q181" i="1"/>
  <c r="P181" i="1"/>
  <c r="O181" i="1"/>
  <c r="N181" i="1"/>
  <c r="M181" i="1"/>
  <c r="L181" i="1"/>
  <c r="K181" i="1"/>
  <c r="G181" i="1"/>
  <c r="F181" i="1"/>
  <c r="T180" i="1"/>
  <c r="S180" i="1"/>
  <c r="R180" i="1"/>
  <c r="Q180" i="1"/>
  <c r="P180" i="1"/>
  <c r="O180" i="1"/>
  <c r="N180" i="1"/>
  <c r="M180" i="1"/>
  <c r="L180" i="1"/>
  <c r="K180" i="1"/>
  <c r="G180" i="1"/>
  <c r="F180" i="1"/>
  <c r="T179" i="1"/>
  <c r="S179" i="1"/>
  <c r="R179" i="1"/>
  <c r="Q179" i="1"/>
  <c r="P179" i="1"/>
  <c r="O179" i="1"/>
  <c r="N179" i="1"/>
  <c r="M179" i="1"/>
  <c r="L179" i="1"/>
  <c r="K179" i="1"/>
  <c r="G179" i="1"/>
  <c r="F179" i="1"/>
  <c r="T178" i="1"/>
  <c r="S178" i="1"/>
  <c r="R178" i="1"/>
  <c r="Q178" i="1"/>
  <c r="P178" i="1"/>
  <c r="O178" i="1"/>
  <c r="N178" i="1"/>
  <c r="M178" i="1"/>
  <c r="L178" i="1"/>
  <c r="K178" i="1"/>
  <c r="G178" i="1"/>
  <c r="F178" i="1"/>
  <c r="T177" i="1"/>
  <c r="S177" i="1"/>
  <c r="R177" i="1"/>
  <c r="Q177" i="1"/>
  <c r="P177" i="1"/>
  <c r="O177" i="1"/>
  <c r="N177" i="1"/>
  <c r="M177" i="1"/>
  <c r="L177" i="1"/>
  <c r="K177" i="1"/>
  <c r="G177" i="1"/>
  <c r="F177" i="1"/>
  <c r="T176" i="1"/>
  <c r="S176" i="1"/>
  <c r="R176" i="1"/>
  <c r="Q176" i="1"/>
  <c r="P176" i="1"/>
  <c r="O176" i="1"/>
  <c r="N176" i="1"/>
  <c r="M176" i="1"/>
  <c r="L176" i="1"/>
  <c r="K176" i="1"/>
  <c r="G176" i="1"/>
  <c r="F176" i="1"/>
  <c r="T175" i="1"/>
  <c r="S175" i="1"/>
  <c r="R175" i="1"/>
  <c r="Q175" i="1"/>
  <c r="P175" i="1"/>
  <c r="O175" i="1"/>
  <c r="N175" i="1"/>
  <c r="M175" i="1"/>
  <c r="L175" i="1"/>
  <c r="K175" i="1"/>
  <c r="G175" i="1"/>
  <c r="F175" i="1"/>
  <c r="T174" i="1"/>
  <c r="S174" i="1"/>
  <c r="R174" i="1"/>
  <c r="Q174" i="1"/>
  <c r="P174" i="1"/>
  <c r="O174" i="1"/>
  <c r="N174" i="1"/>
  <c r="M174" i="1"/>
  <c r="L174" i="1"/>
  <c r="K174" i="1"/>
  <c r="G174" i="1"/>
  <c r="F174" i="1"/>
  <c r="T173" i="1"/>
  <c r="S173" i="1"/>
  <c r="R173" i="1"/>
  <c r="Q173" i="1"/>
  <c r="P173" i="1"/>
  <c r="O173" i="1"/>
  <c r="N173" i="1"/>
  <c r="M173" i="1"/>
  <c r="L173" i="1"/>
  <c r="K173" i="1"/>
  <c r="G173" i="1"/>
  <c r="F173" i="1"/>
  <c r="T172" i="1"/>
  <c r="S172" i="1"/>
  <c r="R172" i="1"/>
  <c r="Q172" i="1"/>
  <c r="P172" i="1"/>
  <c r="O172" i="1"/>
  <c r="N172" i="1"/>
  <c r="M172" i="1"/>
  <c r="L172" i="1"/>
  <c r="K172" i="1"/>
  <c r="G172" i="1"/>
  <c r="F172" i="1"/>
  <c r="T171" i="1"/>
  <c r="S171" i="1"/>
  <c r="R171" i="1"/>
  <c r="Q171" i="1"/>
  <c r="P171" i="1"/>
  <c r="O171" i="1"/>
  <c r="N171" i="1"/>
  <c r="M171" i="1"/>
  <c r="L171" i="1"/>
  <c r="K171" i="1"/>
  <c r="G171" i="1"/>
  <c r="F171" i="1"/>
  <c r="T170" i="1"/>
  <c r="S170" i="1"/>
  <c r="R170" i="1"/>
  <c r="Q170" i="1"/>
  <c r="P170" i="1"/>
  <c r="O170" i="1"/>
  <c r="N170" i="1"/>
  <c r="M170" i="1"/>
  <c r="L170" i="1"/>
  <c r="K170" i="1"/>
  <c r="G170" i="1"/>
  <c r="F170" i="1"/>
  <c r="T169" i="1"/>
  <c r="S169" i="1"/>
  <c r="R169" i="1"/>
  <c r="Q169" i="1"/>
  <c r="P169" i="1"/>
  <c r="O169" i="1"/>
  <c r="N169" i="1"/>
  <c r="M169" i="1"/>
  <c r="L169" i="1"/>
  <c r="K169" i="1"/>
  <c r="G169" i="1"/>
  <c r="F169" i="1"/>
  <c r="T168" i="1"/>
  <c r="S168" i="1"/>
  <c r="R168" i="1"/>
  <c r="Q168" i="1"/>
  <c r="P168" i="1"/>
  <c r="O168" i="1"/>
  <c r="N168" i="1"/>
  <c r="M168" i="1"/>
  <c r="L168" i="1"/>
  <c r="K168" i="1"/>
  <c r="G168" i="1"/>
  <c r="F168" i="1"/>
  <c r="T167" i="1"/>
  <c r="S167" i="1"/>
  <c r="R167" i="1"/>
  <c r="Q167" i="1"/>
  <c r="P167" i="1"/>
  <c r="O167" i="1"/>
  <c r="N167" i="1"/>
  <c r="M167" i="1"/>
  <c r="L167" i="1"/>
  <c r="K167" i="1"/>
  <c r="G167" i="1"/>
  <c r="F167" i="1"/>
  <c r="T166" i="1"/>
  <c r="S166" i="1"/>
  <c r="R166" i="1"/>
  <c r="Q166" i="1"/>
  <c r="P166" i="1"/>
  <c r="O166" i="1"/>
  <c r="N166" i="1"/>
  <c r="M166" i="1"/>
  <c r="L166" i="1"/>
  <c r="K166" i="1"/>
  <c r="G166" i="1"/>
  <c r="F166" i="1"/>
  <c r="T165" i="1"/>
  <c r="S165" i="1"/>
  <c r="R165" i="1"/>
  <c r="Q165" i="1"/>
  <c r="P165" i="1"/>
  <c r="O165" i="1"/>
  <c r="N165" i="1"/>
  <c r="M165" i="1"/>
  <c r="L165" i="1"/>
  <c r="K165" i="1"/>
  <c r="G165" i="1"/>
  <c r="F165" i="1"/>
  <c r="T164" i="1"/>
  <c r="S164" i="1"/>
  <c r="R164" i="1"/>
  <c r="Q164" i="1"/>
  <c r="P164" i="1"/>
  <c r="O164" i="1"/>
  <c r="N164" i="1"/>
  <c r="M164" i="1"/>
  <c r="L164" i="1"/>
  <c r="K164" i="1"/>
  <c r="G164" i="1"/>
  <c r="F164" i="1"/>
  <c r="T163" i="1"/>
  <c r="S163" i="1"/>
  <c r="R163" i="1"/>
  <c r="Q163" i="1"/>
  <c r="P163" i="1"/>
  <c r="O163" i="1"/>
  <c r="N163" i="1"/>
  <c r="M163" i="1"/>
  <c r="L163" i="1"/>
  <c r="K163" i="1"/>
  <c r="G163" i="1"/>
  <c r="F163" i="1"/>
  <c r="T162" i="1"/>
  <c r="S162" i="1"/>
  <c r="R162" i="1"/>
  <c r="Q162" i="1"/>
  <c r="P162" i="1"/>
  <c r="O162" i="1"/>
  <c r="N162" i="1"/>
  <c r="M162" i="1"/>
  <c r="L162" i="1"/>
  <c r="K162" i="1"/>
  <c r="G162" i="1"/>
  <c r="F162" i="1"/>
  <c r="T161" i="1"/>
  <c r="S161" i="1"/>
  <c r="R161" i="1"/>
  <c r="Q161" i="1"/>
  <c r="P161" i="1"/>
  <c r="O161" i="1"/>
  <c r="N161" i="1"/>
  <c r="M161" i="1"/>
  <c r="L161" i="1"/>
  <c r="K161" i="1"/>
  <c r="G161" i="1"/>
  <c r="F161" i="1"/>
  <c r="T160" i="1"/>
  <c r="S160" i="1"/>
  <c r="R160" i="1"/>
  <c r="Q160" i="1"/>
  <c r="P160" i="1"/>
  <c r="O160" i="1"/>
  <c r="N160" i="1"/>
  <c r="M160" i="1"/>
  <c r="L160" i="1"/>
  <c r="K160" i="1"/>
  <c r="G160" i="1"/>
  <c r="F160" i="1"/>
  <c r="T159" i="1"/>
  <c r="S159" i="1"/>
  <c r="R159" i="1"/>
  <c r="Q159" i="1"/>
  <c r="P159" i="1"/>
  <c r="O159" i="1"/>
  <c r="N159" i="1"/>
  <c r="M159" i="1"/>
  <c r="L159" i="1"/>
  <c r="K159" i="1"/>
  <c r="G159" i="1"/>
  <c r="F159" i="1"/>
  <c r="T158" i="1"/>
  <c r="S158" i="1"/>
  <c r="R158" i="1"/>
  <c r="Q158" i="1"/>
  <c r="P158" i="1"/>
  <c r="O158" i="1"/>
  <c r="N158" i="1"/>
  <c r="M158" i="1"/>
  <c r="L158" i="1"/>
  <c r="K158" i="1"/>
  <c r="G158" i="1"/>
  <c r="F158" i="1"/>
  <c r="T157" i="1"/>
  <c r="S157" i="1"/>
  <c r="R157" i="1"/>
  <c r="Q157" i="1"/>
  <c r="P157" i="1"/>
  <c r="O157" i="1"/>
  <c r="N157" i="1"/>
  <c r="M157" i="1"/>
  <c r="L157" i="1"/>
  <c r="K157" i="1"/>
  <c r="G157" i="1"/>
  <c r="F157" i="1"/>
  <c r="T156" i="1"/>
  <c r="S156" i="1"/>
  <c r="R156" i="1"/>
  <c r="Q156" i="1"/>
  <c r="P156" i="1"/>
  <c r="O156" i="1"/>
  <c r="N156" i="1"/>
  <c r="M156" i="1"/>
  <c r="L156" i="1"/>
  <c r="K156" i="1"/>
  <c r="G156" i="1"/>
  <c r="F156" i="1"/>
  <c r="T155" i="1"/>
  <c r="S155" i="1"/>
  <c r="R155" i="1"/>
  <c r="Q155" i="1"/>
  <c r="P155" i="1"/>
  <c r="O155" i="1"/>
  <c r="N155" i="1"/>
  <c r="M155" i="1"/>
  <c r="L155" i="1"/>
  <c r="K155" i="1"/>
  <c r="G155" i="1"/>
  <c r="F155" i="1"/>
  <c r="T154" i="1"/>
  <c r="S154" i="1"/>
  <c r="R154" i="1"/>
  <c r="Q154" i="1"/>
  <c r="P154" i="1"/>
  <c r="O154" i="1"/>
  <c r="N154" i="1"/>
  <c r="M154" i="1"/>
  <c r="L154" i="1"/>
  <c r="K154" i="1"/>
  <c r="G154" i="1"/>
  <c r="F154" i="1"/>
  <c r="T153" i="1"/>
  <c r="S153" i="1"/>
  <c r="R153" i="1"/>
  <c r="Q153" i="1"/>
  <c r="P153" i="1"/>
  <c r="O153" i="1"/>
  <c r="N153" i="1"/>
  <c r="M153" i="1"/>
  <c r="L153" i="1"/>
  <c r="K153" i="1"/>
  <c r="G153" i="1"/>
  <c r="F153" i="1"/>
  <c r="T152" i="1"/>
  <c r="S152" i="1"/>
  <c r="R152" i="1"/>
  <c r="Q152" i="1"/>
  <c r="P152" i="1"/>
  <c r="O152" i="1"/>
  <c r="N152" i="1"/>
  <c r="M152" i="1"/>
  <c r="L152" i="1"/>
  <c r="K152" i="1"/>
  <c r="G152" i="1"/>
  <c r="F152" i="1"/>
  <c r="T151" i="1"/>
  <c r="S151" i="1"/>
  <c r="R151" i="1"/>
  <c r="Q151" i="1"/>
  <c r="P151" i="1"/>
  <c r="O151" i="1"/>
  <c r="N151" i="1"/>
  <c r="M151" i="1"/>
  <c r="L151" i="1"/>
  <c r="K151" i="1"/>
  <c r="G151" i="1"/>
  <c r="F151" i="1"/>
  <c r="T150" i="1"/>
  <c r="S150" i="1"/>
  <c r="R150" i="1"/>
  <c r="Q150" i="1"/>
  <c r="P150" i="1"/>
  <c r="O150" i="1"/>
  <c r="N150" i="1"/>
  <c r="M150" i="1"/>
  <c r="L150" i="1"/>
  <c r="K150" i="1"/>
  <c r="G150" i="1"/>
  <c r="F150" i="1"/>
  <c r="T149" i="1"/>
  <c r="S149" i="1"/>
  <c r="R149" i="1"/>
  <c r="Q149" i="1"/>
  <c r="P149" i="1"/>
  <c r="O149" i="1"/>
  <c r="N149" i="1"/>
  <c r="M149" i="1"/>
  <c r="L149" i="1"/>
  <c r="K149" i="1"/>
  <c r="G149" i="1"/>
  <c r="F149" i="1"/>
  <c r="T148" i="1"/>
  <c r="S148" i="1"/>
  <c r="R148" i="1"/>
  <c r="Q148" i="1"/>
  <c r="P148" i="1"/>
  <c r="O148" i="1"/>
  <c r="N148" i="1"/>
  <c r="M148" i="1"/>
  <c r="L148" i="1"/>
  <c r="K148" i="1"/>
  <c r="G148" i="1"/>
  <c r="F148" i="1"/>
  <c r="T147" i="1"/>
  <c r="S147" i="1"/>
  <c r="R147" i="1"/>
  <c r="Q147" i="1"/>
  <c r="P147" i="1"/>
  <c r="O147" i="1"/>
  <c r="N147" i="1"/>
  <c r="M147" i="1"/>
  <c r="L147" i="1"/>
  <c r="K147" i="1"/>
  <c r="G147" i="1"/>
  <c r="F147" i="1"/>
  <c r="T146" i="1"/>
  <c r="S146" i="1"/>
  <c r="R146" i="1"/>
  <c r="Q146" i="1"/>
  <c r="P146" i="1"/>
  <c r="O146" i="1"/>
  <c r="N146" i="1"/>
  <c r="M146" i="1"/>
  <c r="L146" i="1"/>
  <c r="K146" i="1"/>
  <c r="G146" i="1"/>
  <c r="F146" i="1"/>
  <c r="T145" i="1"/>
  <c r="S145" i="1"/>
  <c r="R145" i="1"/>
  <c r="Q145" i="1"/>
  <c r="P145" i="1"/>
  <c r="O145" i="1"/>
  <c r="N145" i="1"/>
  <c r="M145" i="1"/>
  <c r="L145" i="1"/>
  <c r="K145" i="1"/>
  <c r="G145" i="1"/>
  <c r="F145" i="1"/>
  <c r="T144" i="1"/>
  <c r="S144" i="1"/>
  <c r="R144" i="1"/>
  <c r="Q144" i="1"/>
  <c r="P144" i="1"/>
  <c r="O144" i="1"/>
  <c r="N144" i="1"/>
  <c r="M144" i="1"/>
  <c r="L144" i="1"/>
  <c r="K144" i="1"/>
  <c r="G144" i="1"/>
  <c r="F144" i="1"/>
  <c r="T143" i="1"/>
  <c r="S143" i="1"/>
  <c r="R143" i="1"/>
  <c r="Q143" i="1"/>
  <c r="P143" i="1"/>
  <c r="O143" i="1"/>
  <c r="N143" i="1"/>
  <c r="M143" i="1"/>
  <c r="L143" i="1"/>
  <c r="K143" i="1"/>
  <c r="G143" i="1"/>
  <c r="F143" i="1"/>
  <c r="T142" i="1"/>
  <c r="S142" i="1"/>
  <c r="R142" i="1"/>
  <c r="Q142" i="1"/>
  <c r="P142" i="1"/>
  <c r="O142" i="1"/>
  <c r="N142" i="1"/>
  <c r="M142" i="1"/>
  <c r="L142" i="1"/>
  <c r="K142" i="1"/>
  <c r="G142" i="1"/>
  <c r="F142" i="1"/>
  <c r="T141" i="1"/>
  <c r="S141" i="1"/>
  <c r="R141" i="1"/>
  <c r="Q141" i="1"/>
  <c r="P141" i="1"/>
  <c r="O141" i="1"/>
  <c r="N141" i="1"/>
  <c r="M141" i="1"/>
  <c r="L141" i="1"/>
  <c r="K141" i="1"/>
  <c r="G141" i="1"/>
  <c r="F141" i="1"/>
  <c r="T140" i="1"/>
  <c r="S140" i="1"/>
  <c r="R140" i="1"/>
  <c r="Q140" i="1"/>
  <c r="P140" i="1"/>
  <c r="O140" i="1"/>
  <c r="N140" i="1"/>
  <c r="M140" i="1"/>
  <c r="L140" i="1"/>
  <c r="K140" i="1"/>
  <c r="G140" i="1"/>
  <c r="F140" i="1"/>
  <c r="T139" i="1"/>
  <c r="S139" i="1"/>
  <c r="R139" i="1"/>
  <c r="Q139" i="1"/>
  <c r="P139" i="1"/>
  <c r="O139" i="1"/>
  <c r="N139" i="1"/>
  <c r="M139" i="1"/>
  <c r="L139" i="1"/>
  <c r="K139" i="1"/>
  <c r="G139" i="1"/>
  <c r="F139" i="1"/>
  <c r="T138" i="1"/>
  <c r="S138" i="1"/>
  <c r="R138" i="1"/>
  <c r="Q138" i="1"/>
  <c r="P138" i="1"/>
  <c r="O138" i="1"/>
  <c r="N138" i="1"/>
  <c r="M138" i="1"/>
  <c r="L138" i="1"/>
  <c r="K138" i="1"/>
  <c r="G138" i="1"/>
  <c r="F138" i="1"/>
  <c r="T137" i="1"/>
  <c r="S137" i="1"/>
  <c r="R137" i="1"/>
  <c r="Q137" i="1"/>
  <c r="P137" i="1"/>
  <c r="O137" i="1"/>
  <c r="N137" i="1"/>
  <c r="M137" i="1"/>
  <c r="L137" i="1"/>
  <c r="K137" i="1"/>
  <c r="G137" i="1"/>
  <c r="F137" i="1"/>
  <c r="T136" i="1"/>
  <c r="S136" i="1"/>
  <c r="R136" i="1"/>
  <c r="Q136" i="1"/>
  <c r="P136" i="1"/>
  <c r="O136" i="1"/>
  <c r="N136" i="1"/>
  <c r="M136" i="1"/>
  <c r="L136" i="1"/>
  <c r="K136" i="1"/>
  <c r="G136" i="1"/>
  <c r="F136" i="1"/>
  <c r="T135" i="1"/>
  <c r="S135" i="1"/>
  <c r="R135" i="1"/>
  <c r="Q135" i="1"/>
  <c r="P135" i="1"/>
  <c r="O135" i="1"/>
  <c r="N135" i="1"/>
  <c r="M135" i="1"/>
  <c r="L135" i="1"/>
  <c r="K135" i="1"/>
  <c r="G135" i="1"/>
  <c r="F135" i="1"/>
  <c r="T134" i="1"/>
  <c r="S134" i="1"/>
  <c r="R134" i="1"/>
  <c r="Q134" i="1"/>
  <c r="P134" i="1"/>
  <c r="O134" i="1"/>
  <c r="N134" i="1"/>
  <c r="M134" i="1"/>
  <c r="L134" i="1"/>
  <c r="K134" i="1"/>
  <c r="G134" i="1"/>
  <c r="F134" i="1"/>
  <c r="T133" i="1"/>
  <c r="S133" i="1"/>
  <c r="R133" i="1"/>
  <c r="Q133" i="1"/>
  <c r="P133" i="1"/>
  <c r="O133" i="1"/>
  <c r="N133" i="1"/>
  <c r="M133" i="1"/>
  <c r="L133" i="1"/>
  <c r="K133" i="1"/>
  <c r="G133" i="1"/>
  <c r="F133" i="1"/>
  <c r="T132" i="1"/>
  <c r="S132" i="1"/>
  <c r="R132" i="1"/>
  <c r="Q132" i="1"/>
  <c r="P132" i="1"/>
  <c r="O132" i="1"/>
  <c r="N132" i="1"/>
  <c r="M132" i="1"/>
  <c r="L132" i="1"/>
  <c r="K132" i="1"/>
  <c r="G132" i="1"/>
  <c r="F132" i="1"/>
  <c r="T131" i="1"/>
  <c r="S131" i="1"/>
  <c r="R131" i="1"/>
  <c r="Q131" i="1"/>
  <c r="P131" i="1"/>
  <c r="O131" i="1"/>
  <c r="N131" i="1"/>
  <c r="M131" i="1"/>
  <c r="L131" i="1"/>
  <c r="K131" i="1"/>
  <c r="G131" i="1"/>
  <c r="F131" i="1"/>
  <c r="T130" i="1"/>
  <c r="S130" i="1"/>
  <c r="R130" i="1"/>
  <c r="Q130" i="1"/>
  <c r="P130" i="1"/>
  <c r="O130" i="1"/>
  <c r="N130" i="1"/>
  <c r="M130" i="1"/>
  <c r="L130" i="1"/>
  <c r="K130" i="1"/>
  <c r="G130" i="1"/>
  <c r="F130" i="1"/>
  <c r="T129" i="1"/>
  <c r="S129" i="1"/>
  <c r="R129" i="1"/>
  <c r="Q129" i="1"/>
  <c r="P129" i="1"/>
  <c r="O129" i="1"/>
  <c r="N129" i="1"/>
  <c r="M129" i="1"/>
  <c r="L129" i="1"/>
  <c r="K129" i="1"/>
  <c r="G129" i="1"/>
  <c r="F129" i="1"/>
  <c r="T128" i="1"/>
  <c r="S128" i="1"/>
  <c r="R128" i="1"/>
  <c r="Q128" i="1"/>
  <c r="P128" i="1"/>
  <c r="O128" i="1"/>
  <c r="N128" i="1"/>
  <c r="M128" i="1"/>
  <c r="L128" i="1"/>
  <c r="K128" i="1"/>
  <c r="G128" i="1"/>
  <c r="F128" i="1"/>
  <c r="T127" i="1"/>
  <c r="S127" i="1"/>
  <c r="R127" i="1"/>
  <c r="Q127" i="1"/>
  <c r="P127" i="1"/>
  <c r="O127" i="1"/>
  <c r="N127" i="1"/>
  <c r="M127" i="1"/>
  <c r="L127" i="1"/>
  <c r="K127" i="1"/>
  <c r="G127" i="1"/>
  <c r="F127" i="1"/>
  <c r="T126" i="1"/>
  <c r="S126" i="1"/>
  <c r="R126" i="1"/>
  <c r="Q126" i="1"/>
  <c r="P126" i="1"/>
  <c r="O126" i="1"/>
  <c r="N126" i="1"/>
  <c r="M126" i="1"/>
  <c r="L126" i="1"/>
  <c r="K126" i="1"/>
  <c r="G126" i="1"/>
  <c r="F126" i="1"/>
  <c r="T125" i="1"/>
  <c r="S125" i="1"/>
  <c r="R125" i="1"/>
  <c r="Q125" i="1"/>
  <c r="P125" i="1"/>
  <c r="O125" i="1"/>
  <c r="N125" i="1"/>
  <c r="M125" i="1"/>
  <c r="L125" i="1"/>
  <c r="K125" i="1"/>
  <c r="G125" i="1"/>
  <c r="F125" i="1"/>
  <c r="T124" i="1"/>
  <c r="S124" i="1"/>
  <c r="R124" i="1"/>
  <c r="Q124" i="1"/>
  <c r="P124" i="1"/>
  <c r="O124" i="1"/>
  <c r="N124" i="1"/>
  <c r="M124" i="1"/>
  <c r="L124" i="1"/>
  <c r="K124" i="1"/>
  <c r="G124" i="1"/>
  <c r="F124" i="1"/>
  <c r="T123" i="1"/>
  <c r="S123" i="1"/>
  <c r="R123" i="1"/>
  <c r="Q123" i="1"/>
  <c r="P123" i="1"/>
  <c r="O123" i="1"/>
  <c r="N123" i="1"/>
  <c r="M123" i="1"/>
  <c r="L123" i="1"/>
  <c r="K123" i="1"/>
  <c r="G123" i="1"/>
  <c r="F123" i="1"/>
  <c r="T122" i="1"/>
  <c r="S122" i="1"/>
  <c r="R122" i="1"/>
  <c r="Q122" i="1"/>
  <c r="P122" i="1"/>
  <c r="O122" i="1"/>
  <c r="N122" i="1"/>
  <c r="M122" i="1"/>
  <c r="L122" i="1"/>
  <c r="K122" i="1"/>
  <c r="G122" i="1"/>
  <c r="F122" i="1"/>
  <c r="T121" i="1"/>
  <c r="S121" i="1"/>
  <c r="R121" i="1"/>
  <c r="Q121" i="1"/>
  <c r="P121" i="1"/>
  <c r="O121" i="1"/>
  <c r="N121" i="1"/>
  <c r="M121" i="1"/>
  <c r="L121" i="1"/>
  <c r="K121" i="1"/>
  <c r="G121" i="1"/>
  <c r="F121" i="1"/>
  <c r="T120" i="1"/>
  <c r="S120" i="1"/>
  <c r="R120" i="1"/>
  <c r="Q120" i="1"/>
  <c r="P120" i="1"/>
  <c r="O120" i="1"/>
  <c r="N120" i="1"/>
  <c r="M120" i="1"/>
  <c r="L120" i="1"/>
  <c r="K120" i="1"/>
  <c r="G120" i="1"/>
  <c r="F120" i="1"/>
  <c r="T119" i="1"/>
  <c r="S119" i="1"/>
  <c r="R119" i="1"/>
  <c r="Q119" i="1"/>
  <c r="P119" i="1"/>
  <c r="O119" i="1"/>
  <c r="N119" i="1"/>
  <c r="M119" i="1"/>
  <c r="L119" i="1"/>
  <c r="K119" i="1"/>
  <c r="G119" i="1"/>
  <c r="F119" i="1"/>
  <c r="T118" i="1"/>
  <c r="S118" i="1"/>
  <c r="R118" i="1"/>
  <c r="Q118" i="1"/>
  <c r="P118" i="1"/>
  <c r="O118" i="1"/>
  <c r="N118" i="1"/>
  <c r="M118" i="1"/>
  <c r="L118" i="1"/>
  <c r="K118" i="1"/>
  <c r="G118" i="1"/>
  <c r="F118" i="1"/>
  <c r="T117" i="1"/>
  <c r="S117" i="1"/>
  <c r="R117" i="1"/>
  <c r="Q117" i="1"/>
  <c r="P117" i="1"/>
  <c r="O117" i="1"/>
  <c r="N117" i="1"/>
  <c r="M117" i="1"/>
  <c r="L117" i="1"/>
  <c r="K117" i="1"/>
  <c r="G117" i="1"/>
  <c r="F117" i="1"/>
  <c r="T116" i="1"/>
  <c r="S116" i="1"/>
  <c r="R116" i="1"/>
  <c r="Q116" i="1"/>
  <c r="P116" i="1"/>
  <c r="O116" i="1"/>
  <c r="N116" i="1"/>
  <c r="M116" i="1"/>
  <c r="L116" i="1"/>
  <c r="K116" i="1"/>
  <c r="G116" i="1"/>
  <c r="F116" i="1"/>
  <c r="T115" i="1"/>
  <c r="S115" i="1"/>
  <c r="R115" i="1"/>
  <c r="Q115" i="1"/>
  <c r="P115" i="1"/>
  <c r="O115" i="1"/>
  <c r="N115" i="1"/>
  <c r="M115" i="1"/>
  <c r="L115" i="1"/>
  <c r="K115" i="1"/>
  <c r="G115" i="1"/>
  <c r="F115" i="1"/>
  <c r="T114" i="1"/>
  <c r="S114" i="1"/>
  <c r="R114" i="1"/>
  <c r="Q114" i="1"/>
  <c r="P114" i="1"/>
  <c r="O114" i="1"/>
  <c r="N114" i="1"/>
  <c r="M114" i="1"/>
  <c r="L114" i="1"/>
  <c r="K114" i="1"/>
  <c r="G114" i="1"/>
  <c r="F114" i="1"/>
  <c r="T113" i="1"/>
  <c r="S113" i="1"/>
  <c r="R113" i="1"/>
  <c r="Q113" i="1"/>
  <c r="P113" i="1"/>
  <c r="O113" i="1"/>
  <c r="N113" i="1"/>
  <c r="M113" i="1"/>
  <c r="L113" i="1"/>
  <c r="K113" i="1"/>
  <c r="G113" i="1"/>
  <c r="F113" i="1"/>
  <c r="T112" i="1"/>
  <c r="S112" i="1"/>
  <c r="R112" i="1"/>
  <c r="Q112" i="1"/>
  <c r="P112" i="1"/>
  <c r="O112" i="1"/>
  <c r="N112" i="1"/>
  <c r="M112" i="1"/>
  <c r="L112" i="1"/>
  <c r="K112" i="1"/>
  <c r="G112" i="1"/>
  <c r="F112" i="1"/>
  <c r="T111" i="1"/>
  <c r="S111" i="1"/>
  <c r="R111" i="1"/>
  <c r="Q111" i="1"/>
  <c r="P111" i="1"/>
  <c r="O111" i="1"/>
  <c r="N111" i="1"/>
  <c r="M111" i="1"/>
  <c r="L111" i="1"/>
  <c r="K111" i="1"/>
  <c r="G111" i="1"/>
  <c r="F111" i="1"/>
  <c r="T110" i="1"/>
  <c r="S110" i="1"/>
  <c r="R110" i="1"/>
  <c r="Q110" i="1"/>
  <c r="P110" i="1"/>
  <c r="O110" i="1"/>
  <c r="N110" i="1"/>
  <c r="M110" i="1"/>
  <c r="L110" i="1"/>
  <c r="K110" i="1"/>
  <c r="G110" i="1"/>
  <c r="F110" i="1"/>
  <c r="T109" i="1"/>
  <c r="S109" i="1"/>
  <c r="R109" i="1"/>
  <c r="Q109" i="1"/>
  <c r="P109" i="1"/>
  <c r="O109" i="1"/>
  <c r="N109" i="1"/>
  <c r="M109" i="1"/>
  <c r="L109" i="1"/>
  <c r="K109" i="1"/>
  <c r="G109" i="1"/>
  <c r="F109" i="1"/>
  <c r="T108" i="1"/>
  <c r="S108" i="1"/>
  <c r="R108" i="1"/>
  <c r="Q108" i="1"/>
  <c r="P108" i="1"/>
  <c r="O108" i="1"/>
  <c r="N108" i="1"/>
  <c r="M108" i="1"/>
  <c r="L108" i="1"/>
  <c r="K108" i="1"/>
  <c r="G108" i="1"/>
  <c r="F108" i="1"/>
  <c r="T107" i="1"/>
  <c r="S107" i="1"/>
  <c r="R107" i="1"/>
  <c r="Q107" i="1"/>
  <c r="P107" i="1"/>
  <c r="O107" i="1"/>
  <c r="N107" i="1"/>
  <c r="M107" i="1"/>
  <c r="L107" i="1"/>
  <c r="K107" i="1"/>
  <c r="G107" i="1"/>
  <c r="F107" i="1"/>
  <c r="T106" i="1"/>
  <c r="S106" i="1"/>
  <c r="R106" i="1"/>
  <c r="Q106" i="1"/>
  <c r="P106" i="1"/>
  <c r="O106" i="1"/>
  <c r="N106" i="1"/>
  <c r="M106" i="1"/>
  <c r="L106" i="1"/>
  <c r="K106" i="1"/>
  <c r="G106" i="1"/>
  <c r="F106" i="1"/>
  <c r="T105" i="1"/>
  <c r="S105" i="1"/>
  <c r="R105" i="1"/>
  <c r="Q105" i="1"/>
  <c r="P105" i="1"/>
  <c r="O105" i="1"/>
  <c r="N105" i="1"/>
  <c r="M105" i="1"/>
  <c r="L105" i="1"/>
  <c r="K105" i="1"/>
  <c r="G105" i="1"/>
  <c r="F105" i="1"/>
  <c r="T104" i="1"/>
  <c r="S104" i="1"/>
  <c r="R104" i="1"/>
  <c r="Q104" i="1"/>
  <c r="P104" i="1"/>
  <c r="O104" i="1"/>
  <c r="N104" i="1"/>
  <c r="M104" i="1"/>
  <c r="L104" i="1"/>
  <c r="K104" i="1"/>
  <c r="G104" i="1"/>
  <c r="F104" i="1"/>
  <c r="T103" i="1"/>
  <c r="S103" i="1"/>
  <c r="R103" i="1"/>
  <c r="Q103" i="1"/>
  <c r="P103" i="1"/>
  <c r="O103" i="1"/>
  <c r="N103" i="1"/>
  <c r="M103" i="1"/>
  <c r="L103" i="1"/>
  <c r="K103" i="1"/>
  <c r="G103" i="1"/>
  <c r="F103" i="1"/>
  <c r="T102" i="1"/>
  <c r="S102" i="1"/>
  <c r="R102" i="1"/>
  <c r="Q102" i="1"/>
  <c r="P102" i="1"/>
  <c r="O102" i="1"/>
  <c r="N102" i="1"/>
  <c r="M102" i="1"/>
  <c r="L102" i="1"/>
  <c r="K102" i="1"/>
  <c r="G102" i="1"/>
  <c r="F102" i="1"/>
  <c r="T101" i="1"/>
  <c r="S101" i="1"/>
  <c r="R101" i="1"/>
  <c r="Q101" i="1"/>
  <c r="P101" i="1"/>
  <c r="O101" i="1"/>
  <c r="N101" i="1"/>
  <c r="M101" i="1"/>
  <c r="L101" i="1"/>
  <c r="K101" i="1"/>
  <c r="G101" i="1"/>
  <c r="F101" i="1"/>
  <c r="T100" i="1"/>
  <c r="S100" i="1"/>
  <c r="R100" i="1"/>
  <c r="Q100" i="1"/>
  <c r="P100" i="1"/>
  <c r="O100" i="1"/>
  <c r="N100" i="1"/>
  <c r="M100" i="1"/>
  <c r="L100" i="1"/>
  <c r="K100" i="1"/>
  <c r="G100" i="1"/>
  <c r="F100" i="1"/>
  <c r="T99" i="1"/>
  <c r="S99" i="1"/>
  <c r="R99" i="1"/>
  <c r="Q99" i="1"/>
  <c r="P99" i="1"/>
  <c r="O99" i="1"/>
  <c r="N99" i="1"/>
  <c r="M99" i="1"/>
  <c r="L99" i="1"/>
  <c r="K99" i="1"/>
  <c r="G99" i="1"/>
  <c r="F99" i="1"/>
  <c r="T98" i="1"/>
  <c r="S98" i="1"/>
  <c r="R98" i="1"/>
  <c r="Q98" i="1"/>
  <c r="P98" i="1"/>
  <c r="O98" i="1"/>
  <c r="N98" i="1"/>
  <c r="M98" i="1"/>
  <c r="L98" i="1"/>
  <c r="K98" i="1"/>
  <c r="G98" i="1"/>
  <c r="F98" i="1"/>
  <c r="T97" i="1"/>
  <c r="S97" i="1"/>
  <c r="R97" i="1"/>
  <c r="Q97" i="1"/>
  <c r="P97" i="1"/>
  <c r="O97" i="1"/>
  <c r="N97" i="1"/>
  <c r="M97" i="1"/>
  <c r="L97" i="1"/>
  <c r="K97" i="1"/>
  <c r="G97" i="1"/>
  <c r="F97" i="1"/>
  <c r="T96" i="1"/>
  <c r="S96" i="1"/>
  <c r="R96" i="1"/>
  <c r="Q96" i="1"/>
  <c r="P96" i="1"/>
  <c r="O96" i="1"/>
  <c r="N96" i="1"/>
  <c r="M96" i="1"/>
  <c r="L96" i="1"/>
  <c r="K96" i="1"/>
  <c r="G96" i="1"/>
  <c r="F96" i="1"/>
  <c r="T95" i="1"/>
  <c r="S95" i="1"/>
  <c r="R95" i="1"/>
  <c r="Q95" i="1"/>
  <c r="P95" i="1"/>
  <c r="O95" i="1"/>
  <c r="N95" i="1"/>
  <c r="M95" i="1"/>
  <c r="L95" i="1"/>
  <c r="K95" i="1"/>
  <c r="G95" i="1"/>
  <c r="F95" i="1"/>
  <c r="T94" i="1"/>
  <c r="S94" i="1"/>
  <c r="R94" i="1"/>
  <c r="Q94" i="1"/>
  <c r="P94" i="1"/>
  <c r="O94" i="1"/>
  <c r="N94" i="1"/>
  <c r="M94" i="1"/>
  <c r="L94" i="1"/>
  <c r="K94" i="1"/>
  <c r="G94" i="1"/>
  <c r="F94" i="1"/>
  <c r="T93" i="1"/>
  <c r="S93" i="1"/>
  <c r="R93" i="1"/>
  <c r="Q93" i="1"/>
  <c r="P93" i="1"/>
  <c r="O93" i="1"/>
  <c r="N93" i="1"/>
  <c r="M93" i="1"/>
  <c r="L93" i="1"/>
  <c r="K93" i="1"/>
  <c r="G93" i="1"/>
  <c r="F93" i="1"/>
  <c r="T92" i="1"/>
  <c r="S92" i="1"/>
  <c r="R92" i="1"/>
  <c r="Q92" i="1"/>
  <c r="P92" i="1"/>
  <c r="O92" i="1"/>
  <c r="N92" i="1"/>
  <c r="M92" i="1"/>
  <c r="L92" i="1"/>
  <c r="K92" i="1"/>
  <c r="G92" i="1"/>
  <c r="F92" i="1"/>
  <c r="T91" i="1"/>
  <c r="S91" i="1"/>
  <c r="R91" i="1"/>
  <c r="Q91" i="1"/>
  <c r="P91" i="1"/>
  <c r="O91" i="1"/>
  <c r="N91" i="1"/>
  <c r="M91" i="1"/>
  <c r="L91" i="1"/>
  <c r="K91" i="1"/>
  <c r="G91" i="1"/>
  <c r="F91" i="1"/>
  <c r="T90" i="1"/>
  <c r="S90" i="1"/>
  <c r="R90" i="1"/>
  <c r="Q90" i="1"/>
  <c r="P90" i="1"/>
  <c r="O90" i="1"/>
  <c r="N90" i="1"/>
  <c r="M90" i="1"/>
  <c r="L90" i="1"/>
  <c r="K90" i="1"/>
  <c r="G90" i="1"/>
  <c r="F90" i="1"/>
  <c r="T89" i="1"/>
  <c r="S89" i="1"/>
  <c r="R89" i="1"/>
  <c r="Q89" i="1"/>
  <c r="P89" i="1"/>
  <c r="O89" i="1"/>
  <c r="N89" i="1"/>
  <c r="M89" i="1"/>
  <c r="L89" i="1"/>
  <c r="K89" i="1"/>
  <c r="G89" i="1"/>
  <c r="F89" i="1"/>
  <c r="T88" i="1"/>
  <c r="S88" i="1"/>
  <c r="R88" i="1"/>
  <c r="Q88" i="1"/>
  <c r="P88" i="1"/>
  <c r="O88" i="1"/>
  <c r="N88" i="1"/>
  <c r="M88" i="1"/>
  <c r="L88" i="1"/>
  <c r="K88" i="1"/>
  <c r="G88" i="1"/>
  <c r="F88" i="1"/>
  <c r="T87" i="1"/>
  <c r="S87" i="1"/>
  <c r="R87" i="1"/>
  <c r="Q87" i="1"/>
  <c r="P87" i="1"/>
  <c r="O87" i="1"/>
  <c r="N87" i="1"/>
  <c r="M87" i="1"/>
  <c r="L87" i="1"/>
  <c r="K87" i="1"/>
  <c r="G87" i="1"/>
  <c r="F87" i="1"/>
  <c r="T86" i="1"/>
  <c r="S86" i="1"/>
  <c r="R86" i="1"/>
  <c r="Q86" i="1"/>
  <c r="P86" i="1"/>
  <c r="O86" i="1"/>
  <c r="N86" i="1"/>
  <c r="M86" i="1"/>
  <c r="L86" i="1"/>
  <c r="K86" i="1"/>
  <c r="G86" i="1"/>
  <c r="F86" i="1"/>
  <c r="T85" i="1"/>
  <c r="S85" i="1"/>
  <c r="R85" i="1"/>
  <c r="Q85" i="1"/>
  <c r="P85" i="1"/>
  <c r="O85" i="1"/>
  <c r="N85" i="1"/>
  <c r="M85" i="1"/>
  <c r="L85" i="1"/>
  <c r="K85" i="1"/>
  <c r="G85" i="1"/>
  <c r="F85" i="1"/>
  <c r="T84" i="1"/>
  <c r="S84" i="1"/>
  <c r="R84" i="1"/>
  <c r="Q84" i="1"/>
  <c r="P84" i="1"/>
  <c r="O84" i="1"/>
  <c r="N84" i="1"/>
  <c r="M84" i="1"/>
  <c r="L84" i="1"/>
  <c r="K84" i="1"/>
  <c r="G84" i="1"/>
  <c r="F84" i="1"/>
  <c r="T83" i="1"/>
  <c r="S83" i="1"/>
  <c r="R83" i="1"/>
  <c r="Q83" i="1"/>
  <c r="P83" i="1"/>
  <c r="O83" i="1"/>
  <c r="N83" i="1"/>
  <c r="M83" i="1"/>
  <c r="L83" i="1"/>
  <c r="K83" i="1"/>
  <c r="G83" i="1"/>
  <c r="F83" i="1"/>
  <c r="T82" i="1"/>
  <c r="S82" i="1"/>
  <c r="R82" i="1"/>
  <c r="Q82" i="1"/>
  <c r="P82" i="1"/>
  <c r="O82" i="1"/>
  <c r="N82" i="1"/>
  <c r="M82" i="1"/>
  <c r="L82" i="1"/>
  <c r="K82" i="1"/>
  <c r="G82" i="1"/>
  <c r="F82" i="1"/>
  <c r="T81" i="1"/>
  <c r="S81" i="1"/>
  <c r="R81" i="1"/>
  <c r="Q81" i="1"/>
  <c r="P81" i="1"/>
  <c r="O81" i="1"/>
  <c r="N81" i="1"/>
  <c r="M81" i="1"/>
  <c r="L81" i="1"/>
  <c r="K81" i="1"/>
  <c r="G81" i="1"/>
  <c r="F81" i="1"/>
  <c r="T80" i="1"/>
  <c r="S80" i="1"/>
  <c r="R80" i="1"/>
  <c r="Q80" i="1"/>
  <c r="P80" i="1"/>
  <c r="O80" i="1"/>
  <c r="N80" i="1"/>
  <c r="M80" i="1"/>
  <c r="L80" i="1"/>
  <c r="K80" i="1"/>
  <c r="G80" i="1"/>
  <c r="F80" i="1"/>
  <c r="T79" i="1"/>
  <c r="S79" i="1"/>
  <c r="R79" i="1"/>
  <c r="Q79" i="1"/>
  <c r="P79" i="1"/>
  <c r="O79" i="1"/>
  <c r="N79" i="1"/>
  <c r="M79" i="1"/>
  <c r="L79" i="1"/>
  <c r="K79" i="1"/>
  <c r="G79" i="1"/>
  <c r="F79" i="1"/>
  <c r="T78" i="1"/>
  <c r="S78" i="1"/>
  <c r="R78" i="1"/>
  <c r="Q78" i="1"/>
  <c r="P78" i="1"/>
  <c r="O78" i="1"/>
  <c r="N78" i="1"/>
  <c r="M78" i="1"/>
  <c r="L78" i="1"/>
  <c r="K78" i="1"/>
  <c r="G78" i="1"/>
  <c r="F78" i="1"/>
  <c r="T77" i="1"/>
  <c r="S77" i="1"/>
  <c r="R77" i="1"/>
  <c r="Q77" i="1"/>
  <c r="P77" i="1"/>
  <c r="O77" i="1"/>
  <c r="N77" i="1"/>
  <c r="M77" i="1"/>
  <c r="L77" i="1"/>
  <c r="K77" i="1"/>
  <c r="G77" i="1"/>
  <c r="F77" i="1"/>
  <c r="T76" i="1"/>
  <c r="S76" i="1"/>
  <c r="R76" i="1"/>
  <c r="Q76" i="1"/>
  <c r="P76" i="1"/>
  <c r="O76" i="1"/>
  <c r="N76" i="1"/>
  <c r="M76" i="1"/>
  <c r="L76" i="1"/>
  <c r="K76" i="1"/>
  <c r="G76" i="1"/>
  <c r="F76" i="1"/>
  <c r="T75" i="1"/>
  <c r="S75" i="1"/>
  <c r="R75" i="1"/>
  <c r="Q75" i="1"/>
  <c r="P75" i="1"/>
  <c r="O75" i="1"/>
  <c r="N75" i="1"/>
  <c r="M75" i="1"/>
  <c r="L75" i="1"/>
  <c r="K75" i="1"/>
  <c r="G75" i="1"/>
  <c r="F75" i="1"/>
  <c r="T74" i="1"/>
  <c r="S74" i="1"/>
  <c r="R74" i="1"/>
  <c r="Q74" i="1"/>
  <c r="P74" i="1"/>
  <c r="O74" i="1"/>
  <c r="N74" i="1"/>
  <c r="M74" i="1"/>
  <c r="L74" i="1"/>
  <c r="K74" i="1"/>
  <c r="G74" i="1"/>
  <c r="F74" i="1"/>
  <c r="T73" i="1"/>
  <c r="S73" i="1"/>
  <c r="R73" i="1"/>
  <c r="Q73" i="1"/>
  <c r="P73" i="1"/>
  <c r="O73" i="1"/>
  <c r="N73" i="1"/>
  <c r="M73" i="1"/>
  <c r="L73" i="1"/>
  <c r="K73" i="1"/>
  <c r="G73" i="1"/>
  <c r="F73" i="1"/>
  <c r="T72" i="1"/>
  <c r="S72" i="1"/>
  <c r="R72" i="1"/>
  <c r="Q72" i="1"/>
  <c r="P72" i="1"/>
  <c r="O72" i="1"/>
  <c r="N72" i="1"/>
  <c r="M72" i="1"/>
  <c r="L72" i="1"/>
  <c r="K72" i="1"/>
  <c r="G72" i="1"/>
  <c r="F72" i="1"/>
  <c r="T71" i="1"/>
  <c r="S71" i="1"/>
  <c r="R71" i="1"/>
  <c r="Q71" i="1"/>
  <c r="P71" i="1"/>
  <c r="O71" i="1"/>
  <c r="N71" i="1"/>
  <c r="M71" i="1"/>
  <c r="L71" i="1"/>
  <c r="K71" i="1"/>
  <c r="G71" i="1"/>
  <c r="F71" i="1"/>
  <c r="T70" i="1"/>
  <c r="S70" i="1"/>
  <c r="R70" i="1"/>
  <c r="Q70" i="1"/>
  <c r="P70" i="1"/>
  <c r="O70" i="1"/>
  <c r="N70" i="1"/>
  <c r="M70" i="1"/>
  <c r="L70" i="1"/>
  <c r="K70" i="1"/>
  <c r="G70" i="1"/>
  <c r="F70" i="1"/>
  <c r="T69" i="1"/>
  <c r="S69" i="1"/>
  <c r="R69" i="1"/>
  <c r="Q69" i="1"/>
  <c r="P69" i="1"/>
  <c r="O69" i="1"/>
  <c r="N69" i="1"/>
  <c r="M69" i="1"/>
  <c r="L69" i="1"/>
  <c r="K69" i="1"/>
  <c r="G69" i="1"/>
  <c r="F69" i="1"/>
  <c r="T68" i="1"/>
  <c r="S68" i="1"/>
  <c r="R68" i="1"/>
  <c r="Q68" i="1"/>
  <c r="P68" i="1"/>
  <c r="O68" i="1"/>
  <c r="N68" i="1"/>
  <c r="M68" i="1"/>
  <c r="L68" i="1"/>
  <c r="K68" i="1"/>
  <c r="G68" i="1"/>
  <c r="F68" i="1"/>
  <c r="T67" i="1"/>
  <c r="S67" i="1"/>
  <c r="R67" i="1"/>
  <c r="Q67" i="1"/>
  <c r="P67" i="1"/>
  <c r="O67" i="1"/>
  <c r="N67" i="1"/>
  <c r="M67" i="1"/>
  <c r="L67" i="1"/>
  <c r="K67" i="1"/>
  <c r="G67" i="1"/>
  <c r="F67" i="1"/>
  <c r="T66" i="1"/>
  <c r="S66" i="1"/>
  <c r="R66" i="1"/>
  <c r="Q66" i="1"/>
  <c r="P66" i="1"/>
  <c r="O66" i="1"/>
  <c r="N66" i="1"/>
  <c r="M66" i="1"/>
  <c r="L66" i="1"/>
  <c r="K66" i="1"/>
  <c r="G66" i="1"/>
  <c r="F66" i="1"/>
  <c r="T65" i="1"/>
  <c r="S65" i="1"/>
  <c r="R65" i="1"/>
  <c r="Q65" i="1"/>
  <c r="P65" i="1"/>
  <c r="O65" i="1"/>
  <c r="N65" i="1"/>
  <c r="M65" i="1"/>
  <c r="L65" i="1"/>
  <c r="K65" i="1"/>
  <c r="G65" i="1"/>
  <c r="F65" i="1"/>
  <c r="T64" i="1"/>
  <c r="S64" i="1"/>
  <c r="R64" i="1"/>
  <c r="Q64" i="1"/>
  <c r="P64" i="1"/>
  <c r="O64" i="1"/>
  <c r="N64" i="1"/>
  <c r="M64" i="1"/>
  <c r="L64" i="1"/>
  <c r="K64" i="1"/>
  <c r="G64" i="1"/>
  <c r="F64" i="1"/>
  <c r="T63" i="1"/>
  <c r="S63" i="1"/>
  <c r="R63" i="1"/>
  <c r="Q63" i="1"/>
  <c r="P63" i="1"/>
  <c r="O63" i="1"/>
  <c r="N63" i="1"/>
  <c r="M63" i="1"/>
  <c r="L63" i="1"/>
  <c r="K63" i="1"/>
  <c r="G63" i="1"/>
  <c r="F63" i="1"/>
  <c r="T62" i="1"/>
  <c r="S62" i="1"/>
  <c r="R62" i="1"/>
  <c r="Q62" i="1"/>
  <c r="P62" i="1"/>
  <c r="O62" i="1"/>
  <c r="N62" i="1"/>
  <c r="M62" i="1"/>
  <c r="L62" i="1"/>
  <c r="K62" i="1"/>
  <c r="G62" i="1"/>
  <c r="F62" i="1"/>
  <c r="T61" i="1"/>
  <c r="S61" i="1"/>
  <c r="R61" i="1"/>
  <c r="Q61" i="1"/>
  <c r="P61" i="1"/>
  <c r="O61" i="1"/>
  <c r="N61" i="1"/>
  <c r="M61" i="1"/>
  <c r="L61" i="1"/>
  <c r="K61" i="1"/>
  <c r="G61" i="1"/>
  <c r="F61" i="1"/>
  <c r="T60" i="1"/>
  <c r="S60" i="1"/>
  <c r="R60" i="1"/>
  <c r="Q60" i="1"/>
  <c r="P60" i="1"/>
  <c r="O60" i="1"/>
  <c r="N60" i="1"/>
  <c r="M60" i="1"/>
  <c r="L60" i="1"/>
  <c r="K60" i="1"/>
  <c r="G60" i="1"/>
  <c r="F60" i="1"/>
  <c r="T59" i="1"/>
  <c r="S59" i="1"/>
  <c r="R59" i="1"/>
  <c r="Q59" i="1"/>
  <c r="P59" i="1"/>
  <c r="O59" i="1"/>
  <c r="N59" i="1"/>
  <c r="M59" i="1"/>
  <c r="L59" i="1"/>
  <c r="K59" i="1"/>
  <c r="G59" i="1"/>
  <c r="F59" i="1"/>
  <c r="T58" i="1"/>
  <c r="S58" i="1"/>
  <c r="R58" i="1"/>
  <c r="Q58" i="1"/>
  <c r="P58" i="1"/>
  <c r="O58" i="1"/>
  <c r="N58" i="1"/>
  <c r="M58" i="1"/>
  <c r="L58" i="1"/>
  <c r="K58" i="1"/>
  <c r="G58" i="1"/>
  <c r="F58" i="1"/>
  <c r="T57" i="1"/>
  <c r="S57" i="1"/>
  <c r="R57" i="1"/>
  <c r="Q57" i="1"/>
  <c r="P57" i="1"/>
  <c r="O57" i="1"/>
  <c r="N57" i="1"/>
  <c r="M57" i="1"/>
  <c r="L57" i="1"/>
  <c r="K57" i="1"/>
  <c r="G57" i="1"/>
  <c r="F57" i="1"/>
  <c r="T56" i="1"/>
  <c r="S56" i="1"/>
  <c r="R56" i="1"/>
  <c r="Q56" i="1"/>
  <c r="P56" i="1"/>
  <c r="O56" i="1"/>
  <c r="N56" i="1"/>
  <c r="M56" i="1"/>
  <c r="L56" i="1"/>
  <c r="K56" i="1"/>
  <c r="G56" i="1"/>
  <c r="F56" i="1"/>
  <c r="T55" i="1"/>
  <c r="S55" i="1"/>
  <c r="R55" i="1"/>
  <c r="Q55" i="1"/>
  <c r="P55" i="1"/>
  <c r="O55" i="1"/>
  <c r="N55" i="1"/>
  <c r="M55" i="1"/>
  <c r="L55" i="1"/>
  <c r="K55" i="1"/>
  <c r="G55" i="1"/>
  <c r="F55" i="1"/>
  <c r="T54" i="1"/>
  <c r="S54" i="1"/>
  <c r="R54" i="1"/>
  <c r="Q54" i="1"/>
  <c r="P54" i="1"/>
  <c r="O54" i="1"/>
  <c r="N54" i="1"/>
  <c r="M54" i="1"/>
  <c r="L54" i="1"/>
  <c r="K54" i="1"/>
  <c r="G54" i="1"/>
  <c r="F54" i="1"/>
  <c r="T53" i="1"/>
  <c r="S53" i="1"/>
  <c r="R53" i="1"/>
  <c r="Q53" i="1"/>
  <c r="P53" i="1"/>
  <c r="O53" i="1"/>
  <c r="N53" i="1"/>
  <c r="M53" i="1"/>
  <c r="L53" i="1"/>
  <c r="K53" i="1"/>
  <c r="G53" i="1"/>
  <c r="F53" i="1"/>
  <c r="T52" i="1"/>
  <c r="S52" i="1"/>
  <c r="R52" i="1"/>
  <c r="Q52" i="1"/>
  <c r="P52" i="1"/>
  <c r="O52" i="1"/>
  <c r="N52" i="1"/>
  <c r="M52" i="1"/>
  <c r="L52" i="1"/>
  <c r="K52" i="1"/>
  <c r="G52" i="1"/>
  <c r="F52" i="1"/>
  <c r="T51" i="1"/>
  <c r="S51" i="1"/>
  <c r="R51" i="1"/>
  <c r="Q51" i="1"/>
  <c r="P51" i="1"/>
  <c r="O51" i="1"/>
  <c r="N51" i="1"/>
  <c r="M51" i="1"/>
  <c r="L51" i="1"/>
  <c r="K51" i="1"/>
  <c r="G51" i="1"/>
  <c r="F51" i="1"/>
  <c r="T50" i="1"/>
  <c r="S50" i="1"/>
  <c r="R50" i="1"/>
  <c r="Q50" i="1"/>
  <c r="P50" i="1"/>
  <c r="O50" i="1"/>
  <c r="N50" i="1"/>
  <c r="M50" i="1"/>
  <c r="L50" i="1"/>
  <c r="K50" i="1"/>
  <c r="G50" i="1"/>
  <c r="F50" i="1"/>
  <c r="T49" i="1"/>
  <c r="S49" i="1"/>
  <c r="R49" i="1"/>
  <c r="Q49" i="1"/>
  <c r="P49" i="1"/>
  <c r="O49" i="1"/>
  <c r="N49" i="1"/>
  <c r="M49" i="1"/>
  <c r="L49" i="1"/>
  <c r="K49" i="1"/>
  <c r="G49" i="1"/>
  <c r="F49" i="1"/>
  <c r="T48" i="1"/>
  <c r="S48" i="1"/>
  <c r="R48" i="1"/>
  <c r="Q48" i="1"/>
  <c r="P48" i="1"/>
  <c r="O48" i="1"/>
  <c r="N48" i="1"/>
  <c r="M48" i="1"/>
  <c r="L48" i="1"/>
  <c r="K48" i="1"/>
  <c r="G48" i="1"/>
  <c r="F48" i="1"/>
  <c r="T47" i="1"/>
  <c r="S47" i="1"/>
  <c r="R47" i="1"/>
  <c r="Q47" i="1"/>
  <c r="P47" i="1"/>
  <c r="O47" i="1"/>
  <c r="N47" i="1"/>
  <c r="M47" i="1"/>
  <c r="L47" i="1"/>
  <c r="K47" i="1"/>
  <c r="G47" i="1"/>
  <c r="F47" i="1"/>
  <c r="T46" i="1"/>
  <c r="S46" i="1"/>
  <c r="R46" i="1"/>
  <c r="Q46" i="1"/>
  <c r="P46" i="1"/>
  <c r="O46" i="1"/>
  <c r="N46" i="1"/>
  <c r="M46" i="1"/>
  <c r="L46" i="1"/>
  <c r="K46" i="1"/>
  <c r="G46" i="1"/>
  <c r="F46" i="1"/>
  <c r="T45" i="1"/>
  <c r="S45" i="1"/>
  <c r="R45" i="1"/>
  <c r="Q45" i="1"/>
  <c r="P45" i="1"/>
  <c r="O45" i="1"/>
  <c r="N45" i="1"/>
  <c r="M45" i="1"/>
  <c r="L45" i="1"/>
  <c r="K45" i="1"/>
  <c r="G45" i="1"/>
  <c r="F45" i="1"/>
  <c r="T44" i="1"/>
  <c r="S44" i="1"/>
  <c r="R44" i="1"/>
  <c r="Q44" i="1"/>
  <c r="P44" i="1"/>
  <c r="O44" i="1"/>
  <c r="N44" i="1"/>
  <c r="M44" i="1"/>
  <c r="L44" i="1"/>
  <c r="K44" i="1"/>
  <c r="G44" i="1"/>
  <c r="F44" i="1"/>
  <c r="T43" i="1"/>
  <c r="S43" i="1"/>
  <c r="R43" i="1"/>
  <c r="Q43" i="1"/>
  <c r="P43" i="1"/>
  <c r="O43" i="1"/>
  <c r="N43" i="1"/>
  <c r="M43" i="1"/>
  <c r="L43" i="1"/>
  <c r="K43" i="1"/>
  <c r="G43" i="1"/>
  <c r="F43" i="1"/>
  <c r="T42" i="1"/>
  <c r="S42" i="1"/>
  <c r="R42" i="1"/>
  <c r="Q42" i="1"/>
  <c r="P42" i="1"/>
  <c r="O42" i="1"/>
  <c r="N42" i="1"/>
  <c r="M42" i="1"/>
  <c r="L42" i="1"/>
  <c r="K42" i="1"/>
  <c r="G42" i="1"/>
  <c r="F42" i="1"/>
  <c r="T41" i="1"/>
  <c r="S41" i="1"/>
  <c r="R41" i="1"/>
  <c r="Q41" i="1"/>
  <c r="P41" i="1"/>
  <c r="O41" i="1"/>
  <c r="N41" i="1"/>
  <c r="M41" i="1"/>
  <c r="L41" i="1"/>
  <c r="K41" i="1"/>
  <c r="G41" i="1"/>
  <c r="F41" i="1"/>
  <c r="T40" i="1"/>
  <c r="S40" i="1"/>
  <c r="R40" i="1"/>
  <c r="Q40" i="1"/>
  <c r="P40" i="1"/>
  <c r="O40" i="1"/>
  <c r="N40" i="1"/>
  <c r="M40" i="1"/>
  <c r="L40" i="1"/>
  <c r="K40" i="1"/>
  <c r="G40" i="1"/>
  <c r="F40" i="1"/>
  <c r="T39" i="1"/>
  <c r="S39" i="1"/>
  <c r="R39" i="1"/>
  <c r="Q39" i="1"/>
  <c r="P39" i="1"/>
  <c r="O39" i="1"/>
  <c r="N39" i="1"/>
  <c r="M39" i="1"/>
  <c r="L39" i="1"/>
  <c r="K39" i="1"/>
  <c r="G39" i="1"/>
  <c r="F39" i="1"/>
  <c r="T38" i="1"/>
  <c r="S38" i="1"/>
  <c r="R38" i="1"/>
  <c r="Q38" i="1"/>
  <c r="P38" i="1"/>
  <c r="O38" i="1"/>
  <c r="N38" i="1"/>
  <c r="M38" i="1"/>
  <c r="L38" i="1"/>
  <c r="K38" i="1"/>
  <c r="G38" i="1"/>
  <c r="F38" i="1"/>
  <c r="T37" i="1"/>
  <c r="S37" i="1"/>
  <c r="R37" i="1"/>
  <c r="Q37" i="1"/>
  <c r="P37" i="1"/>
  <c r="O37" i="1"/>
  <c r="N37" i="1"/>
  <c r="M37" i="1"/>
  <c r="L37" i="1"/>
  <c r="K37" i="1"/>
  <c r="G37" i="1"/>
  <c r="F37" i="1"/>
  <c r="T36" i="1"/>
  <c r="S36" i="1"/>
  <c r="R36" i="1"/>
  <c r="Q36" i="1"/>
  <c r="P36" i="1"/>
  <c r="O36" i="1"/>
  <c r="N36" i="1"/>
  <c r="M36" i="1"/>
  <c r="L36" i="1"/>
  <c r="K36" i="1"/>
  <c r="G36" i="1"/>
  <c r="F36" i="1"/>
  <c r="T35" i="1"/>
  <c r="S35" i="1"/>
  <c r="R35" i="1"/>
  <c r="Q35" i="1"/>
  <c r="P35" i="1"/>
  <c r="O35" i="1"/>
  <c r="N35" i="1"/>
  <c r="M35" i="1"/>
  <c r="L35" i="1"/>
  <c r="K35" i="1"/>
  <c r="G35" i="1"/>
  <c r="F35" i="1"/>
  <c r="T34" i="1"/>
  <c r="S34" i="1"/>
  <c r="R34" i="1"/>
  <c r="Q34" i="1"/>
  <c r="P34" i="1"/>
  <c r="O34" i="1"/>
  <c r="N34" i="1"/>
  <c r="M34" i="1"/>
  <c r="L34" i="1"/>
  <c r="K34" i="1"/>
  <c r="G34" i="1"/>
  <c r="F34" i="1"/>
  <c r="T33" i="1"/>
  <c r="S33" i="1"/>
  <c r="R33" i="1"/>
  <c r="Q33" i="1"/>
  <c r="P33" i="1"/>
  <c r="O33" i="1"/>
  <c r="N33" i="1"/>
  <c r="M33" i="1"/>
  <c r="L33" i="1"/>
  <c r="K33" i="1"/>
  <c r="G33" i="1"/>
  <c r="F33" i="1"/>
  <c r="T32" i="1"/>
  <c r="S32" i="1"/>
  <c r="R32" i="1"/>
  <c r="Q32" i="1"/>
  <c r="P32" i="1"/>
  <c r="O32" i="1"/>
  <c r="N32" i="1"/>
  <c r="M32" i="1"/>
  <c r="L32" i="1"/>
  <c r="K32" i="1"/>
  <c r="G32" i="1"/>
  <c r="F32" i="1"/>
  <c r="T31" i="1"/>
  <c r="S31" i="1"/>
  <c r="R31" i="1"/>
  <c r="Q31" i="1"/>
  <c r="P31" i="1"/>
  <c r="O31" i="1"/>
  <c r="N31" i="1"/>
  <c r="M31" i="1"/>
  <c r="L31" i="1"/>
  <c r="K31" i="1"/>
  <c r="G31" i="1"/>
  <c r="F31" i="1"/>
  <c r="T30" i="1"/>
  <c r="S30" i="1"/>
  <c r="R30" i="1"/>
  <c r="Q30" i="1"/>
  <c r="P30" i="1"/>
  <c r="O30" i="1"/>
  <c r="N30" i="1"/>
  <c r="M30" i="1"/>
  <c r="L30" i="1"/>
  <c r="K30" i="1"/>
  <c r="G30" i="1"/>
  <c r="F30" i="1"/>
  <c r="T29" i="1"/>
  <c r="S29" i="1"/>
  <c r="R29" i="1"/>
  <c r="Q29" i="1"/>
  <c r="P29" i="1"/>
  <c r="O29" i="1"/>
  <c r="N29" i="1"/>
  <c r="M29" i="1"/>
  <c r="L29" i="1"/>
  <c r="K29" i="1"/>
  <c r="G29" i="1"/>
  <c r="F29" i="1"/>
  <c r="T28" i="1"/>
  <c r="S28" i="1"/>
  <c r="R28" i="1"/>
  <c r="Q28" i="1"/>
  <c r="P28" i="1"/>
  <c r="O28" i="1"/>
  <c r="N28" i="1"/>
  <c r="M28" i="1"/>
  <c r="L28" i="1"/>
  <c r="K28" i="1"/>
  <c r="G28" i="1"/>
  <c r="F28" i="1"/>
  <c r="T27" i="1"/>
  <c r="S27" i="1"/>
  <c r="R27" i="1"/>
  <c r="Q27" i="1"/>
  <c r="P27" i="1"/>
  <c r="O27" i="1"/>
  <c r="N27" i="1"/>
  <c r="M27" i="1"/>
  <c r="L27" i="1"/>
  <c r="K27" i="1"/>
  <c r="G27" i="1"/>
  <c r="F27" i="1"/>
  <c r="T26" i="1"/>
  <c r="S26" i="1"/>
  <c r="R26" i="1"/>
  <c r="Q26" i="1"/>
  <c r="P26" i="1"/>
  <c r="O26" i="1"/>
  <c r="N26" i="1"/>
  <c r="M26" i="1"/>
  <c r="L26" i="1"/>
  <c r="K26" i="1"/>
  <c r="G26" i="1"/>
  <c r="F26" i="1"/>
  <c r="T25" i="1"/>
  <c r="S25" i="1"/>
  <c r="R25" i="1"/>
  <c r="Q25" i="1"/>
  <c r="P25" i="1"/>
  <c r="O25" i="1"/>
  <c r="N25" i="1"/>
  <c r="M25" i="1"/>
  <c r="L25" i="1"/>
  <c r="K25" i="1"/>
  <c r="G25" i="1"/>
  <c r="F25" i="1"/>
  <c r="T24" i="1"/>
  <c r="S24" i="1"/>
  <c r="R24" i="1"/>
  <c r="Q24" i="1"/>
  <c r="P24" i="1"/>
  <c r="O24" i="1"/>
  <c r="N24" i="1"/>
  <c r="M24" i="1"/>
  <c r="L24" i="1"/>
  <c r="K24" i="1"/>
  <c r="G24" i="1"/>
  <c r="F24" i="1"/>
  <c r="T23" i="1"/>
  <c r="S23" i="1"/>
  <c r="R23" i="1"/>
  <c r="Q23" i="1"/>
  <c r="P23" i="1"/>
  <c r="O23" i="1"/>
  <c r="N23" i="1"/>
  <c r="M23" i="1"/>
  <c r="L23" i="1"/>
  <c r="K23" i="1"/>
  <c r="G23" i="1"/>
  <c r="F23" i="1"/>
  <c r="T22" i="1"/>
  <c r="S22" i="1"/>
  <c r="R22" i="1"/>
  <c r="Q22" i="1"/>
  <c r="P22" i="1"/>
  <c r="O22" i="1"/>
  <c r="N22" i="1"/>
  <c r="M22" i="1"/>
  <c r="L22" i="1"/>
  <c r="K22" i="1"/>
  <c r="G22" i="1"/>
  <c r="F22" i="1"/>
  <c r="T21" i="1"/>
  <c r="S21" i="1"/>
  <c r="R21" i="1"/>
  <c r="Q21" i="1"/>
  <c r="P21" i="1"/>
  <c r="O21" i="1"/>
  <c r="N21" i="1"/>
  <c r="M21" i="1"/>
  <c r="L21" i="1"/>
  <c r="K21" i="1"/>
  <c r="G21" i="1"/>
  <c r="F21" i="1"/>
  <c r="T20" i="1"/>
  <c r="S20" i="1"/>
  <c r="R20" i="1"/>
  <c r="Q20" i="1"/>
  <c r="P20" i="1"/>
  <c r="O20" i="1"/>
  <c r="N20" i="1"/>
  <c r="M20" i="1"/>
  <c r="L20" i="1"/>
  <c r="K20" i="1"/>
  <c r="G20" i="1"/>
  <c r="F20" i="1"/>
  <c r="T19" i="1"/>
  <c r="S19" i="1"/>
  <c r="R19" i="1"/>
  <c r="Q19" i="1"/>
  <c r="P19" i="1"/>
  <c r="O19" i="1"/>
  <c r="N19" i="1"/>
  <c r="M19" i="1"/>
  <c r="L19" i="1"/>
  <c r="K19" i="1"/>
  <c r="G19" i="1"/>
  <c r="F19" i="1"/>
  <c r="T18" i="1"/>
  <c r="S18" i="1"/>
  <c r="R18" i="1"/>
  <c r="Q18" i="1"/>
  <c r="P18" i="1"/>
  <c r="O18" i="1"/>
  <c r="N18" i="1"/>
  <c r="M18" i="1"/>
  <c r="L18" i="1"/>
  <c r="K18" i="1"/>
  <c r="G18" i="1"/>
  <c r="F18" i="1"/>
  <c r="T17" i="1"/>
  <c r="S17" i="1"/>
  <c r="R17" i="1"/>
  <c r="Q17" i="1"/>
  <c r="P17" i="1"/>
  <c r="O17" i="1"/>
  <c r="N17" i="1"/>
  <c r="M17" i="1"/>
  <c r="L17" i="1"/>
  <c r="K17" i="1"/>
  <c r="G17" i="1"/>
  <c r="F17" i="1"/>
  <c r="T16" i="1"/>
  <c r="S16" i="1"/>
  <c r="R16" i="1"/>
  <c r="Q16" i="1"/>
  <c r="P16" i="1"/>
  <c r="O16" i="1"/>
  <c r="N16" i="1"/>
  <c r="M16" i="1"/>
  <c r="L16" i="1"/>
  <c r="K16" i="1"/>
  <c r="G16" i="1"/>
  <c r="F16" i="1"/>
  <c r="T15" i="1"/>
  <c r="S15" i="1"/>
  <c r="R15" i="1"/>
  <c r="Q15" i="1"/>
  <c r="P15" i="1"/>
  <c r="O15" i="1"/>
  <c r="N15" i="1"/>
  <c r="M15" i="1"/>
  <c r="L15" i="1"/>
  <c r="K15" i="1"/>
  <c r="G15" i="1"/>
  <c r="F15" i="1"/>
  <c r="T14" i="1"/>
  <c r="S14" i="1"/>
  <c r="R14" i="1"/>
  <c r="Q14" i="1"/>
  <c r="P14" i="1"/>
  <c r="O14" i="1"/>
  <c r="N14" i="1"/>
  <c r="M14" i="1"/>
  <c r="L14" i="1"/>
  <c r="K14" i="1"/>
  <c r="G14" i="1"/>
  <c r="F14" i="1"/>
  <c r="O13" i="1"/>
  <c r="L13" i="1"/>
  <c r="K13" i="1"/>
  <c r="G13" i="1"/>
  <c r="F13" i="1"/>
  <c r="O12" i="1"/>
  <c r="L12" i="1"/>
  <c r="K12" i="1"/>
  <c r="G12" i="1"/>
  <c r="F12" i="1"/>
  <c r="O11" i="1"/>
  <c r="L11" i="1"/>
  <c r="K11" i="1"/>
  <c r="G11" i="1"/>
  <c r="F11" i="1"/>
  <c r="H5" i="1"/>
  <c r="G5" i="1"/>
  <c r="A5" i="1"/>
  <c r="N13" i="1" l="1"/>
  <c r="M13" i="1"/>
  <c r="P13" i="1" s="1"/>
  <c r="Q13" i="1" s="1"/>
  <c r="R13" i="1" s="1"/>
  <c r="N12" i="1"/>
  <c r="M12" i="1"/>
  <c r="P12" i="1" s="1"/>
  <c r="Q12" i="1" s="1"/>
  <c r="R12" i="1" s="1"/>
  <c r="N11" i="1"/>
  <c r="M11" i="1"/>
  <c r="P11" i="1" s="1"/>
  <c r="S13" i="1" l="1"/>
  <c r="T13" i="1"/>
  <c r="S12" i="1"/>
  <c r="T12" i="1"/>
  <c r="Q11" i="1"/>
  <c r="F5" i="1"/>
  <c r="R11" i="1" l="1"/>
  <c r="B5" i="1"/>
  <c r="E5" i="1" l="1"/>
  <c r="C5" i="1"/>
  <c r="D5" i="1" s="1"/>
  <c r="S11" i="1"/>
  <c r="T11" i="1" s="1"/>
</calcChain>
</file>

<file path=xl/sharedStrings.xml><?xml version="1.0" encoding="utf-8"?>
<sst xmlns="http://schemas.openxmlformats.org/spreadsheetml/2006/main" count="311" uniqueCount="244">
  <si>
    <t>BẢNG TÍNH CHI PHÍ &amp; LỢI NHUẬN TIKTOK SHOP - HÙNG CƯỜNG</t>
  </si>
  <si>
    <t>Tổng doanh thu sau voucher</t>
  </si>
  <si>
    <t>Tổng chi phí</t>
  </si>
  <si>
    <t>Tổng lãi ròng</t>
  </si>
  <si>
    <t>Biên LN TB</t>
  </si>
  <si>
    <t>Dòng đang lỗ</t>
  </si>
  <si>
    <t>Tổng phí TikTok</t>
  </si>
  <si>
    <t>Shop thường</t>
  </si>
  <si>
    <t>Shop Mall</t>
  </si>
  <si>
    <t>Cách dùng nhanh: chọn Sản phẩm + Shop, nhập Giá bán, Voucher, Affiliate, Ads, Ship/khác. Xem chi tiết tại sheet HƯỚNG DẪN. Khi đổi Marketplace/Mall, bảng tự đổi % hoa hồng áp dụng.</t>
  </si>
  <si>
    <t>THÔNG TIN</t>
  </si>
  <si>
    <t>DOANH THU</t>
  </si>
  <si>
    <t>CHI PHÍ SHOP NHẬP</t>
  </si>
  <si>
    <t>PHÍ SÀN / HOA HỒNG TIKTOK</t>
  </si>
  <si>
    <t>KẾT QUẢ</t>
  </si>
  <si>
    <t>Ngày</t>
  </si>
  <si>
    <t>Sản phẩm</t>
  </si>
  <si>
    <t>Shop</t>
  </si>
  <si>
    <t>Giá bán</t>
  </si>
  <si>
    <t>Voucher shop</t>
  </si>
  <si>
    <t>Doanh thu sau voucher</t>
  </si>
  <si>
    <t>CP sản phẩm</t>
  </si>
  <si>
    <t>Affiliate %</t>
  </si>
  <si>
    <t>Ads/order</t>
  </si>
  <si>
    <t>Ship/khác</t>
  </si>
  <si>
    <t>% HH Shop thường</t>
  </si>
  <si>
    <t>% HH Shop Mall</t>
  </si>
  <si>
    <t>Phí HH áp dụng</t>
  </si>
  <si>
    <t>Phí giao dịch</t>
  </si>
  <si>
    <t>Phí xử lý</t>
  </si>
  <si>
    <t>TỔNG CHI PHÍ</t>
  </si>
  <si>
    <t>Lãi ròng</t>
  </si>
  <si>
    <t>Biên LN</t>
  </si>
  <si>
    <t>Cảnh báo</t>
  </si>
  <si>
    <t>Ghi chú</t>
  </si>
  <si>
    <t>HC001 | Sữa công thức tăng trưởng - mẫu</t>
  </si>
  <si>
    <t>Marketplace</t>
  </si>
  <si>
    <t>Mẫu sữa tăng trưởng</t>
  </si>
  <si>
    <t>HC003 | Cháo/Bột/Ngũ cốc ăn dặm - mẫu</t>
  </si>
  <si>
    <t>Mẫu có affiliate + ads</t>
  </si>
  <si>
    <t>HC006 | Vitamin &amp; TPBS cho mẹ - mẫu</t>
  </si>
  <si>
    <t>Mall</t>
  </si>
  <si>
    <t>Mẫu Mall</t>
  </si>
  <si>
    <t>DATA PHÍ &amp; SẢN PHẨM - TikTok Shop Hùng Cường</t>
  </si>
  <si>
    <t>Thông số</t>
  </si>
  <si>
    <t>Giá trị</t>
  </si>
  <si>
    <t>Ghi chú / Nguồn</t>
  </si>
  <si>
    <t>PHÍ TIKTOK.docx: Phí giao dịch = 6%</t>
  </si>
  <si>
    <t>Phí xử lý đơn</t>
  </si>
  <si>
    <t>PHÍ TIKTOK.docx: 3.000đ / đơn giao thành công</t>
  </si>
  <si>
    <t>Ngày hiệu lực Marketplace</t>
  </si>
  <si>
    <t>03/07/2026</t>
  </si>
  <si>
    <t>PHÍ NGHÀNH HÀNG.pdf</t>
  </si>
  <si>
    <t>Ngày hiệu lực Mall</t>
  </si>
  <si>
    <t>03/08/2026</t>
  </si>
  <si>
    <t>Lưu ý</t>
  </si>
  <si>
    <t>Người dùng không cần nhập sheet này</t>
  </si>
  <si>
    <t>Chỉ sửa khi có SKU/phí/giá vốn thật từ công ty</t>
  </si>
  <si>
    <t>HƯỚNG DẪN THÊM SKU: thêm sản phẩm từ dòng trống phía dưới, nhập đủ cột A:J, sau đó copy công thức cột L:M từ dòng trên. Dropdown ở sheet TÍNH LÃI LỖ lấy dữ liệu từ L13:L200.</t>
  </si>
  <si>
    <t>SKU</t>
  </si>
  <si>
    <t>Tên sản phẩm</t>
  </si>
  <si>
    <t>Brand</t>
  </si>
  <si>
    <t>Ngành hàng cấp 3 TikTok</t>
  </si>
  <si>
    <t>Nhóm nội bộ</t>
  </si>
  <si>
    <t>Giá vốn</t>
  </si>
  <si>
    <t>Đóng gói</t>
  </si>
  <si>
    <t>Quà tặng</t>
  </si>
  <si>
    <t>Nguồn / Ghi chú</t>
  </si>
  <si>
    <t>Sản phẩm chọn</t>
  </si>
  <si>
    <t>CP sản phẩm mặc định</t>
  </si>
  <si>
    <t>HC001</t>
  </si>
  <si>
    <t>Sữa công thức tăng trưởng - mẫu</t>
  </si>
  <si>
    <t>Nutricare/Metacare</t>
  </si>
  <si>
    <t>Sữa công thức tăng trưởng</t>
  </si>
  <si>
    <t>Sữa &amp; dinh dưỡng</t>
  </si>
  <si>
    <t>PHÍ NGÀNH HÀNG.pdf</t>
  </si>
  <si>
    <t>HC002</t>
  </si>
  <si>
    <t>Sữa công thức sơ sinh - mẫu</t>
  </si>
  <si>
    <t>Sữa công thức sơ sinh</t>
  </si>
  <si>
    <t>HC003</t>
  </si>
  <si>
    <t>Cháo/Bột/Ngũ cốc ăn dặm - mẫu</t>
  </si>
  <si>
    <t>Cháo, Bột &amp; Ngũ cốc</t>
  </si>
  <si>
    <t>Ăn dặm</t>
  </si>
  <si>
    <t>HC004</t>
  </si>
  <si>
    <t>Đồ uống dinh dưỡng - mẫu</t>
  </si>
  <si>
    <t>Đồ uống</t>
  </si>
  <si>
    <t>Sữa nước/đồ uống</t>
  </si>
  <si>
    <t>HC005</t>
  </si>
  <si>
    <t>Sữa cho mẹ bầu / mẹ cho con bú - mẫu</t>
  </si>
  <si>
    <t>Sữa công thức cho phụ nữ mang thai &amp; cho con bú</t>
  </si>
  <si>
    <t>Mẹ bầu</t>
  </si>
  <si>
    <t>HC006</t>
  </si>
  <si>
    <t>Vitamin &amp; TPBS cho mẹ - mẫu</t>
  </si>
  <si>
    <t>Vitamin &amp; Thực phẩm bổ sung cho mẹ</t>
  </si>
  <si>
    <t>HC007</t>
  </si>
  <si>
    <t>Vitamin &amp; TPBS cho trẻ - mẫu</t>
  </si>
  <si>
    <t>Vitamin &amp; Thực phẩm bổ sung cho trẻ</t>
  </si>
  <si>
    <t>Bé</t>
  </si>
  <si>
    <t>HC008</t>
  </si>
  <si>
    <t>Bình sữa &amp; phụ kiện cho bé - mẫu</t>
  </si>
  <si>
    <t>PUR</t>
  </si>
  <si>
    <t>Bình sữa &amp; phụ kiện cho bé</t>
  </si>
  <si>
    <t>Phụ kiện bé</t>
  </si>
  <si>
    <t>HC009</t>
  </si>
  <si>
    <t>Máy hút sữa &amp; phụ kiện - mẫu</t>
  </si>
  <si>
    <t>Máy hút sữa &amp; phụ kiện</t>
  </si>
  <si>
    <t>Phụ kiện mẹ</t>
  </si>
  <si>
    <t>HC010</t>
  </si>
  <si>
    <t>Que rửa bình sữa cho bé - mẫu</t>
  </si>
  <si>
    <t>Que rửa bình sữa cho bé</t>
  </si>
  <si>
    <t>HC011</t>
  </si>
  <si>
    <t>Yến sào - mẫu</t>
  </si>
  <si>
    <t>Nunest</t>
  </si>
  <si>
    <t>Yến sào</t>
  </si>
  <si>
    <t>HC012</t>
  </si>
  <si>
    <t>Sữa bột / sản phẩm sữa bột - mẫu</t>
  </si>
  <si>
    <t>Sữa bột</t>
  </si>
  <si>
    <t>HƯỚNG DẪN SỬ DỤNG BẢNG TÍNH CHI PHÍ &amp; LỢI NHUẬN TIKTOK SHOP - HÙNG CƯỜNG</t>
  </si>
  <si>
    <t>Mục tiêu: giúp nhập nhanh một sản phẩm/đơn hàng và biết ngay doanh thu, tổng phí TikTok, tổng chi phí, lãi/lỗ ròng và biên lợi nhuận.</t>
  </si>
  <si>
    <t>1</t>
  </si>
  <si>
    <t>Bảng này có những sheet nào?</t>
  </si>
  <si>
    <t>TÍNH LÃI LỖ</t>
  </si>
  <si>
    <t>Sheet chính để người dùng nhập dữ liệu và xem kết quả. Đây là sheet dùng hằng ngày.</t>
  </si>
  <si>
    <t>DATA PHÍ &amp; SẢN PHẨM</t>
  </si>
  <si>
    <t>Sheet dữ liệu nền: chứa SKU, tên sản phẩm, ngành hàng TikTok, % hoa hồng Shop thường/Mall, giá vốn, đóng gói, quà tặng.</t>
  </si>
  <si>
    <t>HƯỚNG DẪN</t>
  </si>
  <si>
    <t>Sheet hướng dẫn cách dùng, cách bảng hoạt động và cách thêm sản phẩm mới.</t>
  </si>
  <si>
    <t>2</t>
  </si>
  <si>
    <t>Quy ước màu sắc / vùng nhập liệu</t>
  </si>
  <si>
    <t>Ô màu vàng</t>
  </si>
  <si>
    <t>Người dùng được nhập/sửa: Ngày, Sản phẩm, Shop, Giá bán, Voucher, Affiliate %, Ads/order, Ship/khác, Ghi chú.</t>
  </si>
  <si>
    <t>Ô màu xanh / đỏ / kết quả</t>
  </si>
  <si>
    <t>Không nhập tay. Đây là vùng tự tính: Doanh thu sau voucher, Tổng phí TikTok, Tổng chi phí, Lãi ròng, Biên LN, Cảnh báo.</t>
  </si>
  <si>
    <t>Sheet DATA</t>
  </si>
  <si>
    <t>Chỉ sửa khi thêm SKU mới, cập nhật giá vốn hoặc cập nhật % hoa hồng TikTok.</t>
  </si>
  <si>
    <t>3</t>
  </si>
  <si>
    <t>Cách nhập một dòng tính lãi/lỗ</t>
  </si>
  <si>
    <t>Bước</t>
  </si>
  <si>
    <t>Cột trên sheet TÍNH LÃI LỖ</t>
  </si>
  <si>
    <t>Người dùng làm gì?</t>
  </si>
  <si>
    <t>Nhập ngày tính hoặc ngày bán.</t>
  </si>
  <si>
    <t>Có thể để ngày hiện tại hoặc ngày campaign/live.</t>
  </si>
  <si>
    <t>Chọn sản phẩm từ danh sách dropdown.</t>
  </si>
  <si>
    <t>Danh sách này lấy từ cột 'Sản phẩm chọn' trong sheet DATA.</t>
  </si>
  <si>
    <t>Chọn Marketplace hoặc Mall.</t>
  </si>
  <si>
    <t>Khi đổi Shop, bảng tự đổi % hoa hồng áp dụng.</t>
  </si>
  <si>
    <t>4</t>
  </si>
  <si>
    <t>Nhập giá bán thực tế trên TikTok.</t>
  </si>
  <si>
    <t>Nên nhập giá trước khi trừ voucher shop.</t>
  </si>
  <si>
    <t>5</t>
  </si>
  <si>
    <t>Nhập số tiền shop tự tài trợ.</t>
  </si>
  <si>
    <t>Không nhập voucher do TikTok tài trợ nếu công ty không chịu khoản đó.</t>
  </si>
  <si>
    <t>6</t>
  </si>
  <si>
    <t>Nhập % hoa hồng creator/KOC nếu có.</t>
  </si>
  <si>
    <t>Ví dụ 5% thì nhập 5%. Không có thì nhập 0.</t>
  </si>
  <si>
    <t>7</t>
  </si>
  <si>
    <t>Nhập chi phí quảng cáo phân bổ cho 1 đơn nếu có.</t>
  </si>
  <si>
    <t>Có thể là TikTok Ads, GMV Max hoặc ads kéo live.</t>
  </si>
  <si>
    <t>8</t>
  </si>
  <si>
    <t>Nhập shop hỗ trợ ship, phí phát sinh, claim, phí khác nếu có.</t>
  </si>
  <si>
    <t>Không có thì để 0.</t>
  </si>
  <si>
    <t>9</t>
  </si>
  <si>
    <t>Kết quả</t>
  </si>
  <si>
    <t>Xem Tổng phí TikTok, Tổng chi phí, Lãi ròng, Biên LN, Cảnh báo.</t>
  </si>
  <si>
    <t>Nếu lãi ròng âm nghĩa là đang lỗ.</t>
  </si>
  <si>
    <t>Cách bảng hoạt động / công thức chính</t>
  </si>
  <si>
    <t>Công thức</t>
  </si>
  <si>
    <t>Cách tính</t>
  </si>
  <si>
    <t>Ý nghĩa</t>
  </si>
  <si>
    <t>Giá bán - Voucher shop</t>
  </si>
  <si>
    <t>Số doanh thu shop còn lại sau khi tự giảm giá.</t>
  </si>
  <si>
    <t>% HH áp dụng</t>
  </si>
  <si>
    <t>Nếu Shop = Mall → dùng % HH Shop Mall; nếu không → dùng % HH Shop thường</t>
  </si>
  <si>
    <t>Đây là điểm quan trọng nhất khi so sánh Shop thường và Shop Mall.</t>
  </si>
  <si>
    <t>Phí hoa hồng áp dụng</t>
  </si>
  <si>
    <t>Doanh thu sau voucher × % HH áp dụng</t>
  </si>
  <si>
    <t>Phí hoa hồng nền tảng TikTok theo ngành hàng cấp 3.</t>
  </si>
  <si>
    <t>Doanh thu sau voucher × 6%</t>
  </si>
  <si>
    <t>Lấy theo cấu hình phí giao dịch trong DATA.</t>
  </si>
  <si>
    <t>3.000đ / đơn</t>
  </si>
  <si>
    <t>Lấy theo cấu hình phí xử lý đơn trong DATA.</t>
  </si>
  <si>
    <t>Phí hoa hồng + Phí giao dịch + Phí xử lý đơn</t>
  </si>
  <si>
    <t>Tổng phí nền tảng TikTok cho đơn đó.</t>
  </si>
  <si>
    <t>CP sản phẩm + Affiliate tiền + Ads/order + Ship/khác + Tổng phí TikTok</t>
  </si>
  <si>
    <t>Tổng tiền shop phải chịu cho sản phẩm/đơn đó.</t>
  </si>
  <si>
    <t>Doanh thu sau voucher - Tổng chi phí</t>
  </si>
  <si>
    <t>Số tiền còn lại sau khi trừ toàn bộ chi phí.</t>
  </si>
  <si>
    <t>Biên lợi nhuận</t>
  </si>
  <si>
    <t>Lãi ròng / Doanh thu sau voucher</t>
  </si>
  <si>
    <t>Cho biết sản phẩm còn khỏe hay không sau khi trừ phí.</t>
  </si>
  <si>
    <t>Cách thêm sản phẩm mới vào bảng</t>
  </si>
  <si>
    <t>Làm ở đâu?</t>
  </si>
  <si>
    <t>Cách làm chi tiết</t>
  </si>
  <si>
    <t>Kéo xuống cuối danh sách SKU hiện có, thêm 1 dòng mới.</t>
  </si>
  <si>
    <t>Nên thêm từ dòng trống sau các sản phẩm mẫu.</t>
  </si>
  <si>
    <t>DATA - cột A</t>
  </si>
  <si>
    <t>Nhập SKU/mã sản phẩm nội bộ.</t>
  </si>
  <si>
    <t>Ví dụ HC013, META-OPTI-C, NUNEST-001.</t>
  </si>
  <si>
    <t>DATA - cột B</t>
  </si>
  <si>
    <t>Nhập tên sản phẩm.</t>
  </si>
  <si>
    <t>Tên này sẽ hiện trong dropdown ở sheet TÍNH LÃI LỖ.</t>
  </si>
  <si>
    <t>DATA - cột C:D:E</t>
  </si>
  <si>
    <t>Nhập Brand, ngành hàng cấp 3 TikTok, nhóm nội bộ.</t>
  </si>
  <si>
    <t>Ngành hàng cấp 3 dùng để đối chiếu % phí TikTok.</t>
  </si>
  <si>
    <t>DATA - cột F:G</t>
  </si>
  <si>
    <t>Nhập % HH Shop thường và % HH Shop Mall.</t>
  </si>
  <si>
    <t>Ví dụ 10% và 11.5%. Đây là 2 mức phí khác nhau.</t>
  </si>
  <si>
    <t>DATA - cột H:I:J</t>
  </si>
  <si>
    <t>Nhập Giá vốn, Đóng gói, Quà tặng.</t>
  </si>
  <si>
    <t>CP sản phẩm mặc định = Giá vốn + Đóng gói + Quà tặng.</t>
  </si>
  <si>
    <t>DATA - cột L</t>
  </si>
  <si>
    <t>Tạo tên chọn: SKU &amp; ' | ' &amp; Tên sản phẩm.</t>
  </si>
  <si>
    <t>Có thể copy công thức từ dòng trên xuống.</t>
  </si>
  <si>
    <t>DATA - cột M</t>
  </si>
  <si>
    <t>Tạo CP sản phẩm mặc định = Giá vốn + Đóng gói + Quà tặng.</t>
  </si>
  <si>
    <t>Quay lại sheet chính, chọn sản phẩm mới trong dropdown.</t>
  </si>
  <si>
    <t>Nếu chưa thấy, kiểm tra sản phẩm mới đã nằm trong vùng DATA dòng 13:200 chưa.</t>
  </si>
  <si>
    <t>Những lỗi thường gặp và cách hiểu</t>
  </si>
  <si>
    <t>Hiện tượng</t>
  </si>
  <si>
    <t>Nguyên nhân</t>
  </si>
  <si>
    <t>Cách xử lý</t>
  </si>
  <si>
    <t>Lãi ròng bị âm</t>
  </si>
  <si>
    <t>Tổng chi phí lớn hơn doanh thu sau voucher.</t>
  </si>
  <si>
    <t>Không phải lỗi công thức. Đây là bảng đang báo sản phẩm/kịch bản đó bị lỗ.</t>
  </si>
  <si>
    <t>Đổi Marketplace sang Mall mà lãi thay đổi</t>
  </si>
  <si>
    <t>Đúng logic vì % HH Mall khác % HH Shop thường.</t>
  </si>
  <si>
    <t>Kiểm tra cột % HH Shop thường / % HH Shop Mall / Phí HH áp dụng.</t>
  </si>
  <si>
    <t>Sản phẩm không hiện trong dropdown</t>
  </si>
  <si>
    <t>Chưa thêm vào cột L 'Sản phẩm chọn' trong DATA hoặc nằm ngoài vùng 13:200.</t>
  </si>
  <si>
    <t>Thêm sản phẩm vào đúng vùng DATA hoặc mở rộng vùng dropdown.</t>
  </si>
  <si>
    <t>CP sản phẩm chưa đúng</t>
  </si>
  <si>
    <t>Giá vốn/đóng gói/quà tặng trong DATA đang là số mẫu.</t>
  </si>
  <si>
    <t>Thay bằng số thực tế của Hùng Cường.</t>
  </si>
  <si>
    <t>Tổng chi phí quá cao</t>
  </si>
  <si>
    <t>Có thể đang cộng nhiều khoản: giá vốn, phí TikTok, affiliate, ads, ship/khác.</t>
  </si>
  <si>
    <t>Kiểm tra từng cột trong khối Chi phí shop nhập và Phí TikTok.</t>
  </si>
  <si>
    <t>Quy tắc vận hành đề xuất</t>
  </si>
  <si>
    <t>Không sửa công thức ở các cột tự tính</t>
  </si>
  <si>
    <t>Các cột F, G, K:T trên sheet TÍNH LÃI LỖ là cột công thức.</t>
  </si>
  <si>
    <t>Khi cập nhật phí TikTok</t>
  </si>
  <si>
    <t>Chỉ sửa % HH ở sheet DATA theo từng ngành hàng/SKU. Không sửa từng dòng ở sheet chính.</t>
  </si>
  <si>
    <t>Khi chạy campaign/live</t>
  </si>
  <si>
    <t>Tạo nhiều dòng kịch bản với voucher, affiliate, ads khác nhau để xem kịch bản nào lãi/lỗ.</t>
  </si>
  <si>
    <t>Bản chỉnh: thêm rõ TỔNG CHI PHÍ và tách riêng % hoa hồng Shop thường / % hoa hồng Shop Mall. Người dùng chỉ nhập các ô màu vàng.  (BẢNG TẠM TÍNH DỰA TRÊN CÔNG BỐ CỦA TIKTOK)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</si>
</sst>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&quot;đ&quot;"/>
    <numFmt numFmtId="165" formatCode="0.0%"/>
    <numFmt numFmtId="166" formatCode="dd/mm/yyyy"/>
  </numFmts>
  <fonts count="12">
    <font>
      <sz val="11"/>
      <name val="Carlito"/>
    </font>
    <font>
      <b/>
      <sz val="14"/>
      <color rgb="FFFFFFFF"/>
      <name val="Times New Roman"/>
      <family val="1"/>
    </font>
    <font>
      <sz val="11"/>
      <name val="Times New Roman"/>
      <family val="1"/>
    </font>
    <font>
      <i/>
      <sz val="11"/>
      <color rgb="FF075985"/>
      <name val="Times New Roman"/>
      <family val="1"/>
    </font>
    <font>
      <b/>
      <sz val="11"/>
      <color rgb="FFFFFFFF"/>
      <name val="Times New Roman"/>
      <family val="1"/>
    </font>
    <font>
      <b/>
      <sz val="11"/>
      <color rgb="FF111827"/>
      <name val="Times New Roman"/>
      <family val="1"/>
    </font>
    <font>
      <b/>
      <sz val="11"/>
      <color rgb="FF92400E"/>
      <name val="Times New Roman"/>
      <family val="1"/>
    </font>
    <font>
      <b/>
      <sz val="11"/>
      <name val="Times New Roman"/>
      <family val="1"/>
    </font>
    <font>
      <b/>
      <sz val="15"/>
      <color rgb="FFFFFFFF"/>
      <name val="Times New Roman"/>
      <family val="1"/>
    </font>
    <font>
      <i/>
      <sz val="10"/>
      <color rgb="FF111827"/>
      <name val="Times New Roman"/>
      <family val="1"/>
    </font>
    <font>
      <sz val="10"/>
      <name val="Times New Roman"/>
      <family val="1"/>
    </font>
    <font>
      <b/>
      <sz val="10"/>
      <color rgb="FFFFFFFF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rgb="FFE0F2FE"/>
      </patternFill>
    </fill>
    <fill>
      <patternFill patternType="solid">
        <fgColor rgb="FFF8FAFC"/>
      </patternFill>
    </fill>
    <fill>
      <patternFill patternType="solid">
        <fgColor rgb="FF1E293B"/>
      </patternFill>
    </fill>
    <fill>
      <patternFill patternType="solid">
        <fgColor rgb="FF0369A1"/>
      </patternFill>
    </fill>
    <fill>
      <patternFill patternType="solid">
        <fgColor rgb="FF92400E"/>
      </patternFill>
    </fill>
    <fill>
      <patternFill patternType="solid">
        <fgColor rgb="FF7C3AED"/>
      </patternFill>
    </fill>
    <fill>
      <patternFill patternType="solid">
        <fgColor rgb="FF166534"/>
      </patternFill>
    </fill>
    <fill>
      <patternFill patternType="solid">
        <fgColor rgb="FF334155"/>
      </patternFill>
    </fill>
    <fill>
      <patternFill patternType="solid">
        <fgColor rgb="FFB91C1C"/>
      </patternFill>
    </fill>
    <fill>
      <patternFill patternType="solid">
        <fgColor rgb="FFFEF9C3"/>
      </patternFill>
    </fill>
    <fill>
      <patternFill patternType="solid">
        <fgColor rgb="FFF1F5F9"/>
      </patternFill>
    </fill>
    <fill>
      <patternFill patternType="solid">
        <fgColor rgb="FFF5F3FF"/>
      </patternFill>
    </fill>
    <fill>
      <patternFill patternType="solid">
        <fgColor rgb="FFECFDF5"/>
      </patternFill>
    </fill>
    <fill>
      <patternFill patternType="solid">
        <fgColor rgb="FFFEE2E2"/>
      </patternFill>
    </fill>
    <fill>
      <patternFill patternType="solid">
        <fgColor rgb="FFE5E7EB"/>
      </patternFill>
    </fill>
    <fill>
      <patternFill patternType="solid">
        <fgColor rgb="FF111827"/>
      </patternFill>
    </fill>
    <fill>
      <patternFill patternType="solid">
        <fgColor rgb="FFD97706"/>
      </patternFill>
    </fill>
    <fill>
      <patternFill patternType="solid">
        <fgColor rgb="FFFFF7ED"/>
      </patternFill>
    </fill>
    <fill>
      <patternFill patternType="solid">
        <fgColor rgb="FFFFF7CC"/>
      </patternFill>
    </fill>
    <fill>
      <patternFill patternType="solid">
        <fgColor rgb="FFE0F2FE"/>
      </patternFill>
    </fill>
    <fill>
      <patternFill patternType="solid">
        <fgColor rgb="FFF3E8FF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E5FA46"/>
        <bgColor indexed="64"/>
      </patternFill>
    </fill>
    <fill>
      <patternFill patternType="solid">
        <fgColor rgb="FF13059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164" fontId="5" fillId="3" borderId="0" xfId="0" applyNumberFormat="1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center" vertical="center" wrapText="1"/>
    </xf>
    <xf numFmtId="166" fontId="2" fillId="11" borderId="0" xfId="0" applyNumberFormat="1" applyFont="1" applyFill="1" applyAlignment="1">
      <alignment vertical="center"/>
    </xf>
    <xf numFmtId="0" fontId="2" fillId="11" borderId="0" xfId="0" applyFont="1" applyFill="1" applyAlignment="1">
      <alignment vertical="center"/>
    </xf>
    <xf numFmtId="164" fontId="2" fillId="11" borderId="0" xfId="0" applyNumberFormat="1" applyFont="1" applyFill="1" applyAlignment="1">
      <alignment vertical="center"/>
    </xf>
    <xf numFmtId="164" fontId="2" fillId="12" borderId="0" xfId="0" applyNumberFormat="1" applyFont="1" applyFill="1" applyAlignment="1">
      <alignment vertical="center"/>
    </xf>
    <xf numFmtId="165" fontId="2" fillId="11" borderId="0" xfId="0" applyNumberFormat="1" applyFont="1" applyFill="1" applyAlignment="1">
      <alignment vertical="center"/>
    </xf>
    <xf numFmtId="165" fontId="2" fillId="13" borderId="0" xfId="0" applyNumberFormat="1" applyFont="1" applyFill="1" applyAlignment="1">
      <alignment vertical="center"/>
    </xf>
    <xf numFmtId="164" fontId="2" fillId="13" borderId="0" xfId="0" applyNumberFormat="1" applyFont="1" applyFill="1" applyAlignment="1">
      <alignment vertical="center"/>
    </xf>
    <xf numFmtId="164" fontId="7" fillId="15" borderId="0" xfId="0" applyNumberFormat="1" applyFont="1" applyFill="1" applyAlignment="1">
      <alignment vertical="center"/>
    </xf>
    <xf numFmtId="164" fontId="2" fillId="14" borderId="0" xfId="0" applyNumberFormat="1" applyFont="1" applyFill="1" applyAlignment="1">
      <alignment vertical="center"/>
    </xf>
    <xf numFmtId="165" fontId="2" fillId="14" borderId="0" xfId="0" applyNumberFormat="1" applyFont="1" applyFill="1" applyAlignment="1">
      <alignment vertical="center"/>
    </xf>
    <xf numFmtId="0" fontId="2" fillId="14" borderId="0" xfId="0" applyFont="1" applyFill="1" applyAlignment="1">
      <alignment vertical="center"/>
    </xf>
    <xf numFmtId="166" fontId="2" fillId="20" borderId="0" xfId="0" applyNumberFormat="1" applyFont="1" applyFill="1" applyAlignment="1">
      <alignment vertical="center"/>
    </xf>
    <xf numFmtId="0" fontId="2" fillId="20" borderId="0" xfId="0" applyFont="1" applyFill="1" applyAlignment="1">
      <alignment vertical="center"/>
    </xf>
    <xf numFmtId="164" fontId="2" fillId="20" borderId="0" xfId="0" applyNumberFormat="1" applyFont="1" applyFill="1" applyAlignment="1">
      <alignment vertical="center"/>
    </xf>
    <xf numFmtId="164" fontId="2" fillId="21" borderId="0" xfId="0" applyNumberFormat="1" applyFont="1" applyFill="1" applyAlignment="1">
      <alignment vertical="center"/>
    </xf>
    <xf numFmtId="165" fontId="2" fillId="20" borderId="0" xfId="0" applyNumberFormat="1" applyFont="1" applyFill="1" applyAlignment="1">
      <alignment vertical="center"/>
    </xf>
    <xf numFmtId="165" fontId="2" fillId="22" borderId="0" xfId="0" applyNumberFormat="1" applyFont="1" applyFill="1" applyAlignment="1">
      <alignment vertical="center"/>
    </xf>
    <xf numFmtId="164" fontId="2" fillId="22" borderId="0" xfId="0" applyNumberFormat="1" applyFont="1" applyFill="1" applyAlignment="1">
      <alignment vertical="center"/>
    </xf>
    <xf numFmtId="164" fontId="7" fillId="23" borderId="0" xfId="0" applyNumberFormat="1" applyFont="1" applyFill="1" applyAlignment="1">
      <alignment vertical="center"/>
    </xf>
    <xf numFmtId="164" fontId="2" fillId="23" borderId="0" xfId="0" applyNumberFormat="1" applyFont="1" applyFill="1" applyAlignment="1">
      <alignment vertical="center"/>
    </xf>
    <xf numFmtId="165" fontId="2" fillId="23" borderId="0" xfId="0" applyNumberFormat="1" applyFont="1" applyFill="1" applyAlignment="1">
      <alignment vertical="center"/>
    </xf>
    <xf numFmtId="0" fontId="2" fillId="23" borderId="0" xfId="0" applyFont="1" applyFill="1" applyAlignment="1">
      <alignment vertical="center"/>
    </xf>
    <xf numFmtId="9" fontId="2" fillId="0" borderId="0" xfId="0" applyNumberFormat="1" applyFont="1"/>
    <xf numFmtId="164" fontId="2" fillId="0" borderId="0" xfId="0" applyNumberFormat="1" applyFont="1"/>
    <xf numFmtId="0" fontId="6" fillId="24" borderId="0" xfId="0" applyFont="1" applyFill="1" applyAlignment="1">
      <alignment wrapText="1"/>
    </xf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165" fontId="2" fillId="0" borderId="0" xfId="0" applyNumberFormat="1" applyFont="1"/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18" borderId="0" xfId="0" applyFont="1" applyFill="1" applyAlignment="1">
      <alignment horizontal="center" vertical="center" wrapText="1"/>
    </xf>
    <xf numFmtId="0" fontId="11" fillId="17" borderId="0" xfId="0" applyFont="1" applyFill="1" applyAlignment="1">
      <alignment horizontal="center" vertical="center" wrapText="1"/>
    </xf>
    <xf numFmtId="0" fontId="9" fillId="16" borderId="0" xfId="0" applyFont="1" applyFill="1" applyAlignment="1">
      <alignment horizontal="center" vertical="center" wrapText="1"/>
    </xf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6" fillId="19" borderId="0" xfId="0" applyFont="1" applyFill="1" applyAlignment="1">
      <alignment horizontal="left" vertical="center" wrapText="1"/>
    </xf>
    <xf numFmtId="0" fontId="6" fillId="19" borderId="0" xfId="0" applyFont="1" applyFill="1" applyAlignment="1">
      <alignment wrapText="1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11" fillId="25" borderId="0" xfId="0" applyFont="1" applyFill="1" applyAlignment="1">
      <alignment horizontal="center" vertical="center" wrapText="1"/>
    </xf>
    <xf numFmtId="0" fontId="11" fillId="26" borderId="0" xfId="0" applyFont="1" applyFill="1" applyAlignment="1">
      <alignment horizontal="center" vertical="center" wrapText="1"/>
    </xf>
    <xf numFmtId="0" fontId="11" fillId="26" borderId="0" xfId="0" applyFont="1" applyFill="1" applyAlignment="1">
      <alignment horizontal="center" vertical="center" wrapText="1"/>
    </xf>
    <xf numFmtId="0" fontId="8" fillId="26" borderId="0" xfId="0" applyFont="1" applyFill="1" applyAlignment="1">
      <alignment horizontal="center" vertical="center" wrapText="1"/>
    </xf>
    <xf numFmtId="0" fontId="1" fillId="26" borderId="0" xfId="0" applyFont="1" applyFill="1" applyAlignment="1">
      <alignment horizontal="center" vertical="center"/>
    </xf>
    <xf numFmtId="0" fontId="2" fillId="26" borderId="0" xfId="0" applyFont="1" applyFill="1"/>
    <xf numFmtId="0" fontId="4" fillId="26" borderId="0" xfId="0" applyFont="1" applyFill="1" applyAlignment="1">
      <alignment horizontal="center"/>
    </xf>
    <xf numFmtId="0" fontId="4" fillId="26" borderId="0" xfId="0" applyFont="1" applyFill="1" applyAlignment="1">
      <alignment horizontal="center" vertical="center" wrapText="1"/>
    </xf>
  </cellXfs>
  <cellStyles count="1">
    <cellStyle name="Normal" xfId="0" builtinId="0"/>
  </cellStyles>
  <dxfs count="27">
    <dxf>
      <font>
        <b/>
        <color rgb="FFFFFFFF"/>
      </font>
      <fill>
        <patternFill>
          <bgColor rgb="FF16A34A"/>
        </patternFill>
      </fill>
    </dxf>
    <dxf>
      <font>
        <b/>
        <color rgb="FFFFFFFF"/>
      </font>
      <fill>
        <patternFill>
          <bgColor rgb="FFDC2626"/>
        </patternFill>
      </fill>
    </dxf>
    <dxf>
      <font>
        <b/>
        <color rgb="FFB91C1C"/>
      </font>
      <fill>
        <patternFill>
          <bgColor rgb="FFFEE2E2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</dxfs>
  <tableStyles count="0" defaultTableStyle="TableStyleMedium2" defaultPivotStyle="PivotStyleLight16"/>
  <colors>
    <mruColors>
      <color rgb="FF13059D"/>
      <color rgb="FFE5FA46"/>
      <color rgb="FF1706BA"/>
      <color rgb="FFDCF80C"/>
      <color rgb="FFD7F307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inhLaiLoTable" displayName="TinhLaiLoTable" ref="A10:U200" headerRowDxfId="26" dataDxfId="25" totalsRowDxfId="24">
  <tableColumns count="21">
    <tableColumn id="1" xr3:uid="{00000000-0010-0000-0000-000001000000}" name="Ngày" dataDxfId="23"/>
    <tableColumn id="2" xr3:uid="{00000000-0010-0000-0000-000002000000}" name="Sản phẩm" dataDxfId="22"/>
    <tableColumn id="3" xr3:uid="{00000000-0010-0000-0000-000003000000}" name="Shop" dataDxfId="21"/>
    <tableColumn id="4" xr3:uid="{00000000-0010-0000-0000-000004000000}" name="Giá bán" dataDxfId="20"/>
    <tableColumn id="5" xr3:uid="{00000000-0010-0000-0000-000005000000}" name="Voucher shop" dataDxfId="19"/>
    <tableColumn id="6" xr3:uid="{00000000-0010-0000-0000-000006000000}" name="Doanh thu sau voucher" dataDxfId="18"/>
    <tableColumn id="7" xr3:uid="{00000000-0010-0000-0000-000007000000}" name="CP sản phẩm" dataDxfId="17"/>
    <tableColumn id="8" xr3:uid="{00000000-0010-0000-0000-000008000000}" name="Affiliate %" dataDxfId="16"/>
    <tableColumn id="9" xr3:uid="{00000000-0010-0000-0000-000009000000}" name="Ads/order" dataDxfId="15"/>
    <tableColumn id="10" xr3:uid="{00000000-0010-0000-0000-00000A000000}" name="Ship/khác" dataDxfId="14"/>
    <tableColumn id="11" xr3:uid="{00000000-0010-0000-0000-00000B000000}" name="% HH Shop thường" dataDxfId="13"/>
    <tableColumn id="12" xr3:uid="{00000000-0010-0000-0000-00000C000000}" name="% HH Shop Mall" dataDxfId="12"/>
    <tableColumn id="13" xr3:uid="{00000000-0010-0000-0000-00000D000000}" name="Phí HH áp dụng" dataDxfId="11"/>
    <tableColumn id="14" xr3:uid="{00000000-0010-0000-0000-00000E000000}" name="Phí giao dịch" dataDxfId="10"/>
    <tableColumn id="15" xr3:uid="{00000000-0010-0000-0000-00000F000000}" name="Phí xử lý" dataDxfId="9"/>
    <tableColumn id="16" xr3:uid="{00000000-0010-0000-0000-000010000000}" name="Tổng phí TikTok" dataDxfId="8"/>
    <tableColumn id="17" xr3:uid="{00000000-0010-0000-0000-000011000000}" name="TỔNG CHI PHÍ" dataDxfId="7"/>
    <tableColumn id="18" xr3:uid="{00000000-0010-0000-0000-000012000000}" name="Lãi ròng" dataDxfId="6"/>
    <tableColumn id="19" xr3:uid="{00000000-0010-0000-0000-000013000000}" name="Biên LN" dataDxfId="5"/>
    <tableColumn id="20" xr3:uid="{00000000-0010-0000-0000-000014000000}" name="Cảnh báo" dataDxfId="4"/>
    <tableColumn id="21" xr3:uid="{00000000-0010-0000-0000-000015000000}" name="Ghi chú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"/>
  <sheetViews>
    <sheetView topLeftCell="E1" zoomScale="85" zoomScaleNormal="85" workbookViewId="0">
      <selection activeCell="K12" sqref="K12"/>
    </sheetView>
  </sheetViews>
  <sheetFormatPr defaultRowHeight="13.8"/>
  <cols>
    <col min="1" max="1" width="12" style="1" customWidth="1"/>
    <col min="2" max="2" width="40" style="1" customWidth="1"/>
    <col min="3" max="5" width="14" style="1" customWidth="1"/>
    <col min="6" max="6" width="18" style="1" customWidth="1"/>
    <col min="7" max="7" width="16" style="1" customWidth="1"/>
    <col min="8" max="8" width="13" style="1" customWidth="1"/>
    <col min="9" max="10" width="14" style="1" customWidth="1"/>
    <col min="11" max="14" width="16" style="1" customWidth="1"/>
    <col min="15" max="15" width="13" style="1" customWidth="1"/>
    <col min="16" max="17" width="17" style="1" customWidth="1"/>
    <col min="18" max="18" width="15" style="1" customWidth="1"/>
    <col min="19" max="19" width="12" style="1" customWidth="1"/>
    <col min="20" max="20" width="16" style="1" customWidth="1"/>
    <col min="21" max="21" width="28" style="1" customWidth="1"/>
    <col min="22" max="16384" width="8.796875" style="1"/>
  </cols>
  <sheetData>
    <row r="1" spans="1:21" ht="22.35" customHeight="1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</row>
    <row r="2" spans="1:21" ht="17.55" customHeight="1">
      <c r="A2" s="42" t="s">
        <v>243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</row>
    <row r="4" spans="1:21" ht="22.35" customHeight="1">
      <c r="A4" s="57" t="s">
        <v>1</v>
      </c>
      <c r="B4" s="57" t="s">
        <v>2</v>
      </c>
      <c r="C4" s="57" t="s">
        <v>3</v>
      </c>
      <c r="D4" s="57" t="s">
        <v>4</v>
      </c>
      <c r="E4" s="57" t="s">
        <v>5</v>
      </c>
      <c r="F4" s="57" t="s">
        <v>6</v>
      </c>
      <c r="G4" s="57" t="s">
        <v>7</v>
      </c>
      <c r="H4" s="57" t="s">
        <v>8</v>
      </c>
    </row>
    <row r="5" spans="1:21" ht="22.35" customHeight="1">
      <c r="A5" s="2">
        <f>SUM(F11:F200)</f>
        <v>970000</v>
      </c>
      <c r="B5" s="2">
        <f>SUM(Q11:Q200)</f>
        <v>851300</v>
      </c>
      <c r="C5" s="2">
        <f>SUM(R11:R200)</f>
        <v>118700</v>
      </c>
      <c r="D5" s="3">
        <f>IFERROR(C5/A5,0)</f>
        <v>0.12237113402061855</v>
      </c>
      <c r="E5" s="4">
        <f>COUNTIF(R11:R200,"&lt;0")</f>
        <v>0</v>
      </c>
      <c r="F5" s="2">
        <f>SUM(P11:P200)</f>
        <v>181300</v>
      </c>
      <c r="G5" s="4">
        <f>COUNTIF(C11:C200,"Marketplace")</f>
        <v>2</v>
      </c>
      <c r="H5" s="4">
        <f>COUNTIF(C11:C200,"Mall")</f>
        <v>1</v>
      </c>
    </row>
    <row r="7" spans="1:21" ht="27.15" customHeight="1">
      <c r="A7" s="43" t="s">
        <v>9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</row>
    <row r="9" spans="1:21" ht="22.35" customHeight="1">
      <c r="A9" s="45" t="s">
        <v>10</v>
      </c>
      <c r="B9" s="41"/>
      <c r="C9" s="41"/>
      <c r="D9" s="46" t="s">
        <v>11</v>
      </c>
      <c r="E9" s="41"/>
      <c r="F9" s="41"/>
      <c r="G9" s="47" t="s">
        <v>12</v>
      </c>
      <c r="H9" s="41"/>
      <c r="I9" s="41"/>
      <c r="J9" s="41"/>
      <c r="K9" s="48" t="s">
        <v>13</v>
      </c>
      <c r="L9" s="41"/>
      <c r="M9" s="41"/>
      <c r="N9" s="41"/>
      <c r="O9" s="41"/>
      <c r="P9" s="41"/>
      <c r="Q9" s="49" t="s">
        <v>14</v>
      </c>
      <c r="R9" s="41"/>
      <c r="S9" s="41"/>
      <c r="T9" s="41"/>
      <c r="U9" s="41"/>
    </row>
    <row r="10" spans="1:21" ht="22.35" customHeight="1">
      <c r="A10" s="5" t="s">
        <v>15</v>
      </c>
      <c r="B10" s="5" t="s">
        <v>16</v>
      </c>
      <c r="C10" s="5" t="s">
        <v>17</v>
      </c>
      <c r="D10" s="5" t="s">
        <v>18</v>
      </c>
      <c r="E10" s="5" t="s">
        <v>19</v>
      </c>
      <c r="F10" s="5" t="s">
        <v>20</v>
      </c>
      <c r="G10" s="5" t="s">
        <v>21</v>
      </c>
      <c r="H10" s="5" t="s">
        <v>22</v>
      </c>
      <c r="I10" s="5" t="s">
        <v>23</v>
      </c>
      <c r="J10" s="5" t="s">
        <v>24</v>
      </c>
      <c r="K10" s="5" t="s">
        <v>25</v>
      </c>
      <c r="L10" s="5" t="s">
        <v>26</v>
      </c>
      <c r="M10" s="5" t="s">
        <v>27</v>
      </c>
      <c r="N10" s="5" t="s">
        <v>28</v>
      </c>
      <c r="O10" s="5" t="s">
        <v>29</v>
      </c>
      <c r="P10" s="5" t="s">
        <v>6</v>
      </c>
      <c r="Q10" s="6" t="s">
        <v>30</v>
      </c>
      <c r="R10" s="5" t="s">
        <v>31</v>
      </c>
      <c r="S10" s="5" t="s">
        <v>32</v>
      </c>
      <c r="T10" s="5" t="s">
        <v>33</v>
      </c>
      <c r="U10" s="5" t="s">
        <v>34</v>
      </c>
    </row>
    <row r="11" spans="1:21" ht="16.05" customHeight="1">
      <c r="A11" s="7">
        <v>46206</v>
      </c>
      <c r="B11" s="8" t="s">
        <v>35</v>
      </c>
      <c r="C11" s="8" t="s">
        <v>36</v>
      </c>
      <c r="D11" s="9">
        <v>450000</v>
      </c>
      <c r="E11" s="9">
        <v>20000</v>
      </c>
      <c r="F11" s="10">
        <f t="shared" ref="F11:F42" si="0">IF($B11="","",$D11-$E11)</f>
        <v>430000</v>
      </c>
      <c r="G11" s="10">
        <f>IF($B11="","",IFERROR(INDEX('DATA PHÍ &amp; SẢN PHẨM'!$M$13:$M$200,MATCH($B11,'DATA PHÍ &amp; SẢN PHẨM'!$L$13:$L$200,0)),0))</f>
        <v>305000</v>
      </c>
      <c r="H11" s="11">
        <v>0</v>
      </c>
      <c r="I11" s="9">
        <v>0</v>
      </c>
      <c r="J11" s="9">
        <v>0</v>
      </c>
      <c r="K11" s="12">
        <f>IF($B11="","",IFERROR(INDEX('DATA PHÍ &amp; SẢN PHẨM'!$F$13:$F$200,MATCH($B11,'DATA PHÍ &amp; SẢN PHẨM'!$L$13:$L$200,0)),0))</f>
        <v>0.1</v>
      </c>
      <c r="L11" s="12">
        <f>IF($B11="","",IFERROR(INDEX('DATA PHÍ &amp; SẢN PHẨM'!$G$13:$G$200,MATCH($B11,'DATA PHÍ &amp; SẢN PHẨM'!$L$13:$L$200,0)),0))</f>
        <v>0.115</v>
      </c>
      <c r="M11" s="13">
        <f t="shared" ref="M11:M42" si="1">IF($B11="","",$F11*IF($C11="Mall",$L11,$K11))</f>
        <v>43000</v>
      </c>
      <c r="N11" s="13">
        <f>IF($B11="","",$F11*'DATA PHÍ &amp; SẢN PHẨM'!$B$4)</f>
        <v>25800</v>
      </c>
      <c r="O11" s="13">
        <f>IF($B11="","",'DATA PHÍ &amp; SẢN PHẨM'!$B$5)</f>
        <v>3000</v>
      </c>
      <c r="P11" s="13">
        <f t="shared" ref="P11:P42" si="2">IF($B11="","",SUM(M11:O11))</f>
        <v>71800</v>
      </c>
      <c r="Q11" s="14">
        <f t="shared" ref="Q11:Q42" si="3">IF($B11="","",SUM(G11,I11,J11,P11)+($F11*$H11))</f>
        <v>376800</v>
      </c>
      <c r="R11" s="15">
        <f t="shared" ref="R11:R42" si="4">IF($B11="","",$F11-$Q11)</f>
        <v>53200</v>
      </c>
      <c r="S11" s="16">
        <f t="shared" ref="S11:S42" si="5">IF($B11="","",IFERROR($R11/$F11,0))</f>
        <v>0.12372093023255815</v>
      </c>
      <c r="T11" s="17" t="str">
        <f t="shared" ref="T11:T42" si="6">IF($B11="","",IF($R11&lt;0,"LỖ",IF($S11&lt;0.05,"RẤT NGUY HIỂM",IF($S11&lt;0.1,"LÃI THẤP",IF($S11&lt;0.2,"ỔN","TỐT")))))</f>
        <v>ỔN</v>
      </c>
      <c r="U11" s="8" t="s">
        <v>37</v>
      </c>
    </row>
    <row r="12" spans="1:21" ht="16.05" customHeight="1">
      <c r="A12" s="7">
        <v>46206</v>
      </c>
      <c r="B12" s="8" t="s">
        <v>38</v>
      </c>
      <c r="C12" s="8" t="s">
        <v>36</v>
      </c>
      <c r="D12" s="9">
        <v>250000</v>
      </c>
      <c r="E12" s="9">
        <v>10000</v>
      </c>
      <c r="F12" s="10">
        <f t="shared" si="0"/>
        <v>240000</v>
      </c>
      <c r="G12" s="10">
        <f>IF($B12="","",IFERROR(INDEX('DATA PHÍ &amp; SẢN PHẨM'!$M$13:$M$200,MATCH($B12,'DATA PHÍ &amp; SẢN PHẨM'!$L$13:$L$200,0)),0))</f>
        <v>124000</v>
      </c>
      <c r="H12" s="11">
        <v>0.05</v>
      </c>
      <c r="I12" s="9">
        <v>15000</v>
      </c>
      <c r="J12" s="9">
        <v>0</v>
      </c>
      <c r="K12" s="12">
        <f>IF($B12="","",IFERROR(INDEX('DATA PHÍ &amp; SẢN PHẨM'!$F$13:$F$200,MATCH($B12,'DATA PHÍ &amp; SẢN PHẨM'!$L$13:$L$200,0)),0))</f>
        <v>9.5000000000000001E-2</v>
      </c>
      <c r="L12" s="12">
        <f>IF($B12="","",IFERROR(INDEX('DATA PHÍ &amp; SẢN PHẨM'!$G$13:$G$200,MATCH($B12,'DATA PHÍ &amp; SẢN PHẨM'!$L$13:$L$200,0)),0))</f>
        <v>0.125</v>
      </c>
      <c r="M12" s="13">
        <f t="shared" si="1"/>
        <v>22800</v>
      </c>
      <c r="N12" s="13">
        <f>IF($B12="","",$F12*'DATA PHÍ &amp; SẢN PHẨM'!$B$4)</f>
        <v>14400</v>
      </c>
      <c r="O12" s="13">
        <f>IF($B12="","",'DATA PHÍ &amp; SẢN PHẨM'!$B$5)</f>
        <v>3000</v>
      </c>
      <c r="P12" s="13">
        <f t="shared" si="2"/>
        <v>40200</v>
      </c>
      <c r="Q12" s="14">
        <f t="shared" si="3"/>
        <v>191200</v>
      </c>
      <c r="R12" s="15">
        <f t="shared" si="4"/>
        <v>48800</v>
      </c>
      <c r="S12" s="16">
        <f t="shared" si="5"/>
        <v>0.20333333333333334</v>
      </c>
      <c r="T12" s="17" t="str">
        <f t="shared" si="6"/>
        <v>TỐT</v>
      </c>
      <c r="U12" s="8" t="s">
        <v>39</v>
      </c>
    </row>
    <row r="13" spans="1:21" ht="16.05" customHeight="1">
      <c r="A13" s="7">
        <v>46206</v>
      </c>
      <c r="B13" s="8" t="s">
        <v>40</v>
      </c>
      <c r="C13" s="8" t="s">
        <v>41</v>
      </c>
      <c r="D13" s="9">
        <v>320000</v>
      </c>
      <c r="E13" s="9">
        <v>20000</v>
      </c>
      <c r="F13" s="10">
        <f t="shared" si="0"/>
        <v>300000</v>
      </c>
      <c r="G13" s="10">
        <f>IF($B13="","",IFERROR(INDEX('DATA PHÍ &amp; SẢN PHẨM'!$M$13:$M$200,MATCH($B13,'DATA PHÍ &amp; SẢN PHẨM'!$L$13:$L$200,0)),0))</f>
        <v>165000</v>
      </c>
      <c r="H13" s="11">
        <v>0.08</v>
      </c>
      <c r="I13" s="9">
        <v>20000</v>
      </c>
      <c r="J13" s="9">
        <v>5000</v>
      </c>
      <c r="K13" s="12">
        <f>IF($B13="","",IFERROR(INDEX('DATA PHÍ &amp; SẢN PHẨM'!$F$13:$F$200,MATCH($B13,'DATA PHÍ &amp; SẢN PHẨM'!$L$13:$L$200,0)),0))</f>
        <v>0.13500000000000001</v>
      </c>
      <c r="L13" s="12">
        <f>IF($B13="","",IFERROR(INDEX('DATA PHÍ &amp; SẢN PHẨM'!$G$13:$G$200,MATCH($B13,'DATA PHÍ &amp; SẢN PHẨM'!$L$13:$L$200,0)),0))</f>
        <v>0.161</v>
      </c>
      <c r="M13" s="13">
        <f t="shared" si="1"/>
        <v>48300</v>
      </c>
      <c r="N13" s="13">
        <f>IF($B13="","",$F13*'DATA PHÍ &amp; SẢN PHẨM'!$B$4)</f>
        <v>18000</v>
      </c>
      <c r="O13" s="13">
        <f>IF($B13="","",'DATA PHÍ &amp; SẢN PHẨM'!$B$5)</f>
        <v>3000</v>
      </c>
      <c r="P13" s="13">
        <f t="shared" si="2"/>
        <v>69300</v>
      </c>
      <c r="Q13" s="14">
        <f t="shared" si="3"/>
        <v>283300</v>
      </c>
      <c r="R13" s="15">
        <f t="shared" si="4"/>
        <v>16700</v>
      </c>
      <c r="S13" s="16">
        <f t="shared" si="5"/>
        <v>5.566666666666667E-2</v>
      </c>
      <c r="T13" s="17" t="str">
        <f t="shared" si="6"/>
        <v>LÃI THẤP</v>
      </c>
      <c r="U13" s="8" t="s">
        <v>42</v>
      </c>
    </row>
    <row r="14" spans="1:21" ht="16.05" customHeight="1">
      <c r="A14" s="18"/>
      <c r="B14" s="19"/>
      <c r="C14" s="19"/>
      <c r="D14" s="20"/>
      <c r="E14" s="20"/>
      <c r="F14" s="21" t="str">
        <f t="shared" si="0"/>
        <v/>
      </c>
      <c r="G14" s="21" t="str">
        <f>IF($B14="","",IFERROR(INDEX('DATA PHÍ &amp; SẢN PHẨM'!$M$13:$M$200,MATCH($B14,'DATA PHÍ &amp; SẢN PHẨM'!$L$13:$L$200,0)),0))</f>
        <v/>
      </c>
      <c r="H14" s="22"/>
      <c r="I14" s="20"/>
      <c r="J14" s="20"/>
      <c r="K14" s="23" t="str">
        <f>IF($B14="","",IFERROR(INDEX('DATA PHÍ &amp; SẢN PHẨM'!$F$13:$F$200,MATCH($B14,'DATA PHÍ &amp; SẢN PHẨM'!$L$13:$L$200,0)),0))</f>
        <v/>
      </c>
      <c r="L14" s="23" t="str">
        <f>IF($B14="","",IFERROR(INDEX('DATA PHÍ &amp; SẢN PHẨM'!$G$13:$G$200,MATCH($B14,'DATA PHÍ &amp; SẢN PHẨM'!$L$13:$L$200,0)),0))</f>
        <v/>
      </c>
      <c r="M14" s="24" t="str">
        <f t="shared" si="1"/>
        <v/>
      </c>
      <c r="N14" s="24" t="str">
        <f>IF($B14="","",$F14*'DATA PHÍ &amp; SẢN PHẨM'!$B$4)</f>
        <v/>
      </c>
      <c r="O14" s="24" t="str">
        <f>IF($B14="","",'DATA PHÍ &amp; SẢN PHẨM'!$B$5)</f>
        <v/>
      </c>
      <c r="P14" s="24" t="str">
        <f t="shared" si="2"/>
        <v/>
      </c>
      <c r="Q14" s="25" t="str">
        <f t="shared" si="3"/>
        <v/>
      </c>
      <c r="R14" s="26" t="str">
        <f t="shared" si="4"/>
        <v/>
      </c>
      <c r="S14" s="27" t="str">
        <f t="shared" si="5"/>
        <v/>
      </c>
      <c r="T14" s="28" t="str">
        <f t="shared" si="6"/>
        <v/>
      </c>
      <c r="U14" s="19"/>
    </row>
    <row r="15" spans="1:21" ht="16.05" customHeight="1">
      <c r="A15" s="18"/>
      <c r="B15" s="19"/>
      <c r="C15" s="19"/>
      <c r="D15" s="20"/>
      <c r="E15" s="20"/>
      <c r="F15" s="21" t="str">
        <f t="shared" si="0"/>
        <v/>
      </c>
      <c r="G15" s="21" t="str">
        <f>IF($B15="","",IFERROR(INDEX('DATA PHÍ &amp; SẢN PHẨM'!$M$13:$M$200,MATCH($B15,'DATA PHÍ &amp; SẢN PHẨM'!$L$13:$L$200,0)),0))</f>
        <v/>
      </c>
      <c r="H15" s="22"/>
      <c r="I15" s="20"/>
      <c r="J15" s="20"/>
      <c r="K15" s="23" t="str">
        <f>IF($B15="","",IFERROR(INDEX('DATA PHÍ &amp; SẢN PHẨM'!$F$13:$F$200,MATCH($B15,'DATA PHÍ &amp; SẢN PHẨM'!$L$13:$L$200,0)),0))</f>
        <v/>
      </c>
      <c r="L15" s="23" t="str">
        <f>IF($B15="","",IFERROR(INDEX('DATA PHÍ &amp; SẢN PHẨM'!$G$13:$G$200,MATCH($B15,'DATA PHÍ &amp; SẢN PHẨM'!$L$13:$L$200,0)),0))</f>
        <v/>
      </c>
      <c r="M15" s="24" t="str">
        <f t="shared" si="1"/>
        <v/>
      </c>
      <c r="N15" s="24" t="str">
        <f>IF($B15="","",$F15*'DATA PHÍ &amp; SẢN PHẨM'!$B$4)</f>
        <v/>
      </c>
      <c r="O15" s="24" t="str">
        <f>IF($B15="","",'DATA PHÍ &amp; SẢN PHẨM'!$B$5)</f>
        <v/>
      </c>
      <c r="P15" s="24" t="str">
        <f t="shared" si="2"/>
        <v/>
      </c>
      <c r="Q15" s="25" t="str">
        <f t="shared" si="3"/>
        <v/>
      </c>
      <c r="R15" s="26" t="str">
        <f t="shared" si="4"/>
        <v/>
      </c>
      <c r="S15" s="27" t="str">
        <f t="shared" si="5"/>
        <v/>
      </c>
      <c r="T15" s="28" t="str">
        <f t="shared" si="6"/>
        <v/>
      </c>
      <c r="U15" s="19"/>
    </row>
    <row r="16" spans="1:21" ht="16.05" customHeight="1">
      <c r="A16" s="18"/>
      <c r="B16" s="19"/>
      <c r="C16" s="19"/>
      <c r="D16" s="20"/>
      <c r="E16" s="20"/>
      <c r="F16" s="21" t="str">
        <f t="shared" si="0"/>
        <v/>
      </c>
      <c r="G16" s="21" t="str">
        <f>IF($B16="","",IFERROR(INDEX('DATA PHÍ &amp; SẢN PHẨM'!$M$13:$M$200,MATCH($B16,'DATA PHÍ &amp; SẢN PHẨM'!$L$13:$L$200,0)),0))</f>
        <v/>
      </c>
      <c r="H16" s="22"/>
      <c r="I16" s="20"/>
      <c r="J16" s="20"/>
      <c r="K16" s="23" t="str">
        <f>IF($B16="","",IFERROR(INDEX('DATA PHÍ &amp; SẢN PHẨM'!$F$13:$F$200,MATCH($B16,'DATA PHÍ &amp; SẢN PHẨM'!$L$13:$L$200,0)),0))</f>
        <v/>
      </c>
      <c r="L16" s="23" t="str">
        <f>IF($B16="","",IFERROR(INDEX('DATA PHÍ &amp; SẢN PHẨM'!$G$13:$G$200,MATCH($B16,'DATA PHÍ &amp; SẢN PHẨM'!$L$13:$L$200,0)),0))</f>
        <v/>
      </c>
      <c r="M16" s="24" t="str">
        <f t="shared" si="1"/>
        <v/>
      </c>
      <c r="N16" s="24" t="str">
        <f>IF($B16="","",$F16*'DATA PHÍ &amp; SẢN PHẨM'!$B$4)</f>
        <v/>
      </c>
      <c r="O16" s="24" t="str">
        <f>IF($B16="","",'DATA PHÍ &amp; SẢN PHẨM'!$B$5)</f>
        <v/>
      </c>
      <c r="P16" s="24" t="str">
        <f t="shared" si="2"/>
        <v/>
      </c>
      <c r="Q16" s="25" t="str">
        <f t="shared" si="3"/>
        <v/>
      </c>
      <c r="R16" s="26" t="str">
        <f t="shared" si="4"/>
        <v/>
      </c>
      <c r="S16" s="27" t="str">
        <f t="shared" si="5"/>
        <v/>
      </c>
      <c r="T16" s="28" t="str">
        <f t="shared" si="6"/>
        <v/>
      </c>
      <c r="U16" s="19"/>
    </row>
    <row r="17" spans="1:21" ht="16.05" customHeight="1">
      <c r="A17" s="18"/>
      <c r="B17" s="19"/>
      <c r="C17" s="19"/>
      <c r="D17" s="20"/>
      <c r="E17" s="20"/>
      <c r="F17" s="21" t="str">
        <f t="shared" si="0"/>
        <v/>
      </c>
      <c r="G17" s="21" t="str">
        <f>IF($B17="","",IFERROR(INDEX('DATA PHÍ &amp; SẢN PHẨM'!$M$13:$M$200,MATCH($B17,'DATA PHÍ &amp; SẢN PHẨM'!$L$13:$L$200,0)),0))</f>
        <v/>
      </c>
      <c r="H17" s="22"/>
      <c r="I17" s="20"/>
      <c r="J17" s="20"/>
      <c r="K17" s="23" t="str">
        <f>IF($B17="","",IFERROR(INDEX('DATA PHÍ &amp; SẢN PHẨM'!$F$13:$F$200,MATCH($B17,'DATA PHÍ &amp; SẢN PHẨM'!$L$13:$L$200,0)),0))</f>
        <v/>
      </c>
      <c r="L17" s="23" t="str">
        <f>IF($B17="","",IFERROR(INDEX('DATA PHÍ &amp; SẢN PHẨM'!$G$13:$G$200,MATCH($B17,'DATA PHÍ &amp; SẢN PHẨM'!$L$13:$L$200,0)),0))</f>
        <v/>
      </c>
      <c r="M17" s="24" t="str">
        <f t="shared" si="1"/>
        <v/>
      </c>
      <c r="N17" s="24" t="str">
        <f>IF($B17="","",$F17*'DATA PHÍ &amp; SẢN PHẨM'!$B$4)</f>
        <v/>
      </c>
      <c r="O17" s="24" t="str">
        <f>IF($B17="","",'DATA PHÍ &amp; SẢN PHẨM'!$B$5)</f>
        <v/>
      </c>
      <c r="P17" s="24" t="str">
        <f t="shared" si="2"/>
        <v/>
      </c>
      <c r="Q17" s="25" t="str">
        <f t="shared" si="3"/>
        <v/>
      </c>
      <c r="R17" s="26" t="str">
        <f t="shared" si="4"/>
        <v/>
      </c>
      <c r="S17" s="27" t="str">
        <f t="shared" si="5"/>
        <v/>
      </c>
      <c r="T17" s="28" t="str">
        <f t="shared" si="6"/>
        <v/>
      </c>
      <c r="U17" s="19"/>
    </row>
    <row r="18" spans="1:21" ht="16.05" customHeight="1">
      <c r="A18" s="18"/>
      <c r="B18" s="19"/>
      <c r="C18" s="19"/>
      <c r="D18" s="20"/>
      <c r="E18" s="20"/>
      <c r="F18" s="21" t="str">
        <f t="shared" si="0"/>
        <v/>
      </c>
      <c r="G18" s="21" t="str">
        <f>IF($B18="","",IFERROR(INDEX('DATA PHÍ &amp; SẢN PHẨM'!$M$13:$M$200,MATCH($B18,'DATA PHÍ &amp; SẢN PHẨM'!$L$13:$L$200,0)),0))</f>
        <v/>
      </c>
      <c r="H18" s="22"/>
      <c r="I18" s="20"/>
      <c r="J18" s="20"/>
      <c r="K18" s="23" t="str">
        <f>IF($B18="","",IFERROR(INDEX('DATA PHÍ &amp; SẢN PHẨM'!$F$13:$F$200,MATCH($B18,'DATA PHÍ &amp; SẢN PHẨM'!$L$13:$L$200,0)),0))</f>
        <v/>
      </c>
      <c r="L18" s="23" t="str">
        <f>IF($B18="","",IFERROR(INDEX('DATA PHÍ &amp; SẢN PHẨM'!$G$13:$G$200,MATCH($B18,'DATA PHÍ &amp; SẢN PHẨM'!$L$13:$L$200,0)),0))</f>
        <v/>
      </c>
      <c r="M18" s="24" t="str">
        <f t="shared" si="1"/>
        <v/>
      </c>
      <c r="N18" s="24" t="str">
        <f>IF($B18="","",$F18*'DATA PHÍ &amp; SẢN PHẨM'!$B$4)</f>
        <v/>
      </c>
      <c r="O18" s="24" t="str">
        <f>IF($B18="","",'DATA PHÍ &amp; SẢN PHẨM'!$B$5)</f>
        <v/>
      </c>
      <c r="P18" s="24" t="str">
        <f t="shared" si="2"/>
        <v/>
      </c>
      <c r="Q18" s="25" t="str">
        <f t="shared" si="3"/>
        <v/>
      </c>
      <c r="R18" s="26" t="str">
        <f t="shared" si="4"/>
        <v/>
      </c>
      <c r="S18" s="27" t="str">
        <f t="shared" si="5"/>
        <v/>
      </c>
      <c r="T18" s="28" t="str">
        <f t="shared" si="6"/>
        <v/>
      </c>
      <c r="U18" s="19"/>
    </row>
    <row r="19" spans="1:21" ht="16.05" customHeight="1">
      <c r="A19" s="18"/>
      <c r="B19" s="19"/>
      <c r="C19" s="19"/>
      <c r="D19" s="20"/>
      <c r="E19" s="20"/>
      <c r="F19" s="21" t="str">
        <f t="shared" si="0"/>
        <v/>
      </c>
      <c r="G19" s="21" t="str">
        <f>IF($B19="","",IFERROR(INDEX('DATA PHÍ &amp; SẢN PHẨM'!$M$13:$M$200,MATCH($B19,'DATA PHÍ &amp; SẢN PHẨM'!$L$13:$L$200,0)),0))</f>
        <v/>
      </c>
      <c r="H19" s="22"/>
      <c r="I19" s="20"/>
      <c r="J19" s="20"/>
      <c r="K19" s="23" t="str">
        <f>IF($B19="","",IFERROR(INDEX('DATA PHÍ &amp; SẢN PHẨM'!$F$13:$F$200,MATCH($B19,'DATA PHÍ &amp; SẢN PHẨM'!$L$13:$L$200,0)),0))</f>
        <v/>
      </c>
      <c r="L19" s="23" t="str">
        <f>IF($B19="","",IFERROR(INDEX('DATA PHÍ &amp; SẢN PHẨM'!$G$13:$G$200,MATCH($B19,'DATA PHÍ &amp; SẢN PHẨM'!$L$13:$L$200,0)),0))</f>
        <v/>
      </c>
      <c r="M19" s="24" t="str">
        <f t="shared" si="1"/>
        <v/>
      </c>
      <c r="N19" s="24" t="str">
        <f>IF($B19="","",$F19*'DATA PHÍ &amp; SẢN PHẨM'!$B$4)</f>
        <v/>
      </c>
      <c r="O19" s="24" t="str">
        <f>IF($B19="","",'DATA PHÍ &amp; SẢN PHẨM'!$B$5)</f>
        <v/>
      </c>
      <c r="P19" s="24" t="str">
        <f t="shared" si="2"/>
        <v/>
      </c>
      <c r="Q19" s="25" t="str">
        <f t="shared" si="3"/>
        <v/>
      </c>
      <c r="R19" s="26" t="str">
        <f t="shared" si="4"/>
        <v/>
      </c>
      <c r="S19" s="27" t="str">
        <f t="shared" si="5"/>
        <v/>
      </c>
      <c r="T19" s="28" t="str">
        <f t="shared" si="6"/>
        <v/>
      </c>
      <c r="U19" s="19"/>
    </row>
    <row r="20" spans="1:21" ht="16.05" customHeight="1">
      <c r="A20" s="18"/>
      <c r="B20" s="19"/>
      <c r="C20" s="19"/>
      <c r="D20" s="20"/>
      <c r="E20" s="20"/>
      <c r="F20" s="21" t="str">
        <f t="shared" si="0"/>
        <v/>
      </c>
      <c r="G20" s="21" t="str">
        <f>IF($B20="","",IFERROR(INDEX('DATA PHÍ &amp; SẢN PHẨM'!$M$13:$M$200,MATCH($B20,'DATA PHÍ &amp; SẢN PHẨM'!$L$13:$L$200,0)),0))</f>
        <v/>
      </c>
      <c r="H20" s="22"/>
      <c r="I20" s="20"/>
      <c r="J20" s="20"/>
      <c r="K20" s="23" t="str">
        <f>IF($B20="","",IFERROR(INDEX('DATA PHÍ &amp; SẢN PHẨM'!$F$13:$F$200,MATCH($B20,'DATA PHÍ &amp; SẢN PHẨM'!$L$13:$L$200,0)),0))</f>
        <v/>
      </c>
      <c r="L20" s="23" t="str">
        <f>IF($B20="","",IFERROR(INDEX('DATA PHÍ &amp; SẢN PHẨM'!$G$13:$G$200,MATCH($B20,'DATA PHÍ &amp; SẢN PHẨM'!$L$13:$L$200,0)),0))</f>
        <v/>
      </c>
      <c r="M20" s="24" t="str">
        <f t="shared" si="1"/>
        <v/>
      </c>
      <c r="N20" s="24" t="str">
        <f>IF($B20="","",$F20*'DATA PHÍ &amp; SẢN PHẨM'!$B$4)</f>
        <v/>
      </c>
      <c r="O20" s="24" t="str">
        <f>IF($B20="","",'DATA PHÍ &amp; SẢN PHẨM'!$B$5)</f>
        <v/>
      </c>
      <c r="P20" s="24" t="str">
        <f t="shared" si="2"/>
        <v/>
      </c>
      <c r="Q20" s="25" t="str">
        <f t="shared" si="3"/>
        <v/>
      </c>
      <c r="R20" s="26" t="str">
        <f t="shared" si="4"/>
        <v/>
      </c>
      <c r="S20" s="27" t="str">
        <f t="shared" si="5"/>
        <v/>
      </c>
      <c r="T20" s="28" t="str">
        <f t="shared" si="6"/>
        <v/>
      </c>
      <c r="U20" s="19"/>
    </row>
    <row r="21" spans="1:21" ht="16.05" customHeight="1">
      <c r="A21" s="18"/>
      <c r="B21" s="19"/>
      <c r="C21" s="19"/>
      <c r="D21" s="20"/>
      <c r="E21" s="20"/>
      <c r="F21" s="21" t="str">
        <f t="shared" si="0"/>
        <v/>
      </c>
      <c r="G21" s="21" t="str">
        <f>IF($B21="","",IFERROR(INDEX('DATA PHÍ &amp; SẢN PHẨM'!$M$13:$M$200,MATCH($B21,'DATA PHÍ &amp; SẢN PHẨM'!$L$13:$L$200,0)),0))</f>
        <v/>
      </c>
      <c r="H21" s="22"/>
      <c r="I21" s="20"/>
      <c r="J21" s="20"/>
      <c r="K21" s="23" t="str">
        <f>IF($B21="","",IFERROR(INDEX('DATA PHÍ &amp; SẢN PHẨM'!$F$13:$F$200,MATCH($B21,'DATA PHÍ &amp; SẢN PHẨM'!$L$13:$L$200,0)),0))</f>
        <v/>
      </c>
      <c r="L21" s="23" t="str">
        <f>IF($B21="","",IFERROR(INDEX('DATA PHÍ &amp; SẢN PHẨM'!$G$13:$G$200,MATCH($B21,'DATA PHÍ &amp; SẢN PHẨM'!$L$13:$L$200,0)),0))</f>
        <v/>
      </c>
      <c r="M21" s="24" t="str">
        <f t="shared" si="1"/>
        <v/>
      </c>
      <c r="N21" s="24" t="str">
        <f>IF($B21="","",$F21*'DATA PHÍ &amp; SẢN PHẨM'!$B$4)</f>
        <v/>
      </c>
      <c r="O21" s="24" t="str">
        <f>IF($B21="","",'DATA PHÍ &amp; SẢN PHẨM'!$B$5)</f>
        <v/>
      </c>
      <c r="P21" s="24" t="str">
        <f t="shared" si="2"/>
        <v/>
      </c>
      <c r="Q21" s="25" t="str">
        <f t="shared" si="3"/>
        <v/>
      </c>
      <c r="R21" s="26" t="str">
        <f t="shared" si="4"/>
        <v/>
      </c>
      <c r="S21" s="27" t="str">
        <f t="shared" si="5"/>
        <v/>
      </c>
      <c r="T21" s="28" t="str">
        <f t="shared" si="6"/>
        <v/>
      </c>
      <c r="U21" s="19"/>
    </row>
    <row r="22" spans="1:21" ht="16.05" customHeight="1">
      <c r="A22" s="18"/>
      <c r="B22" s="19"/>
      <c r="C22" s="19"/>
      <c r="D22" s="20"/>
      <c r="E22" s="20"/>
      <c r="F22" s="21" t="str">
        <f t="shared" si="0"/>
        <v/>
      </c>
      <c r="G22" s="21" t="str">
        <f>IF($B22="","",IFERROR(INDEX('DATA PHÍ &amp; SẢN PHẨM'!$M$13:$M$200,MATCH($B22,'DATA PHÍ &amp; SẢN PHẨM'!$L$13:$L$200,0)),0))</f>
        <v/>
      </c>
      <c r="H22" s="22"/>
      <c r="I22" s="20"/>
      <c r="J22" s="20"/>
      <c r="K22" s="23" t="str">
        <f>IF($B22="","",IFERROR(INDEX('DATA PHÍ &amp; SẢN PHẨM'!$F$13:$F$200,MATCH($B22,'DATA PHÍ &amp; SẢN PHẨM'!$L$13:$L$200,0)),0))</f>
        <v/>
      </c>
      <c r="L22" s="23" t="str">
        <f>IF($B22="","",IFERROR(INDEX('DATA PHÍ &amp; SẢN PHẨM'!$G$13:$G$200,MATCH($B22,'DATA PHÍ &amp; SẢN PHẨM'!$L$13:$L$200,0)),0))</f>
        <v/>
      </c>
      <c r="M22" s="24" t="str">
        <f t="shared" si="1"/>
        <v/>
      </c>
      <c r="N22" s="24" t="str">
        <f>IF($B22="","",$F22*'DATA PHÍ &amp; SẢN PHẨM'!$B$4)</f>
        <v/>
      </c>
      <c r="O22" s="24" t="str">
        <f>IF($B22="","",'DATA PHÍ &amp; SẢN PHẨM'!$B$5)</f>
        <v/>
      </c>
      <c r="P22" s="24" t="str">
        <f t="shared" si="2"/>
        <v/>
      </c>
      <c r="Q22" s="25" t="str">
        <f t="shared" si="3"/>
        <v/>
      </c>
      <c r="R22" s="26" t="str">
        <f t="shared" si="4"/>
        <v/>
      </c>
      <c r="S22" s="27" t="str">
        <f t="shared" si="5"/>
        <v/>
      </c>
      <c r="T22" s="28" t="str">
        <f t="shared" si="6"/>
        <v/>
      </c>
      <c r="U22" s="19"/>
    </row>
    <row r="23" spans="1:21" ht="16.05" customHeight="1">
      <c r="A23" s="18"/>
      <c r="B23" s="19"/>
      <c r="C23" s="19"/>
      <c r="D23" s="20"/>
      <c r="E23" s="20"/>
      <c r="F23" s="21" t="str">
        <f t="shared" si="0"/>
        <v/>
      </c>
      <c r="G23" s="21" t="str">
        <f>IF($B23="","",IFERROR(INDEX('DATA PHÍ &amp; SẢN PHẨM'!$M$13:$M$200,MATCH($B23,'DATA PHÍ &amp; SẢN PHẨM'!$L$13:$L$200,0)),0))</f>
        <v/>
      </c>
      <c r="H23" s="22"/>
      <c r="I23" s="20"/>
      <c r="J23" s="20"/>
      <c r="K23" s="23" t="str">
        <f>IF($B23="","",IFERROR(INDEX('DATA PHÍ &amp; SẢN PHẨM'!$F$13:$F$200,MATCH($B23,'DATA PHÍ &amp; SẢN PHẨM'!$L$13:$L$200,0)),0))</f>
        <v/>
      </c>
      <c r="L23" s="23" t="str">
        <f>IF($B23="","",IFERROR(INDEX('DATA PHÍ &amp; SẢN PHẨM'!$G$13:$G$200,MATCH($B23,'DATA PHÍ &amp; SẢN PHẨM'!$L$13:$L$200,0)),0))</f>
        <v/>
      </c>
      <c r="M23" s="24" t="str">
        <f t="shared" si="1"/>
        <v/>
      </c>
      <c r="N23" s="24" t="str">
        <f>IF($B23="","",$F23*'DATA PHÍ &amp; SẢN PHẨM'!$B$4)</f>
        <v/>
      </c>
      <c r="O23" s="24" t="str">
        <f>IF($B23="","",'DATA PHÍ &amp; SẢN PHẨM'!$B$5)</f>
        <v/>
      </c>
      <c r="P23" s="24" t="str">
        <f t="shared" si="2"/>
        <v/>
      </c>
      <c r="Q23" s="25" t="str">
        <f t="shared" si="3"/>
        <v/>
      </c>
      <c r="R23" s="26" t="str">
        <f t="shared" si="4"/>
        <v/>
      </c>
      <c r="S23" s="27" t="str">
        <f t="shared" si="5"/>
        <v/>
      </c>
      <c r="T23" s="28" t="str">
        <f t="shared" si="6"/>
        <v/>
      </c>
      <c r="U23" s="19"/>
    </row>
    <row r="24" spans="1:21" ht="16.05" customHeight="1">
      <c r="A24" s="18"/>
      <c r="B24" s="19"/>
      <c r="C24" s="19"/>
      <c r="D24" s="20"/>
      <c r="E24" s="20"/>
      <c r="F24" s="21" t="str">
        <f t="shared" si="0"/>
        <v/>
      </c>
      <c r="G24" s="21" t="str">
        <f>IF($B24="","",IFERROR(INDEX('DATA PHÍ &amp; SẢN PHẨM'!$M$13:$M$200,MATCH($B24,'DATA PHÍ &amp; SẢN PHẨM'!$L$13:$L$200,0)),0))</f>
        <v/>
      </c>
      <c r="H24" s="22"/>
      <c r="I24" s="20"/>
      <c r="J24" s="20"/>
      <c r="K24" s="23" t="str">
        <f>IF($B24="","",IFERROR(INDEX('DATA PHÍ &amp; SẢN PHẨM'!$F$13:$F$200,MATCH($B24,'DATA PHÍ &amp; SẢN PHẨM'!$L$13:$L$200,0)),0))</f>
        <v/>
      </c>
      <c r="L24" s="23" t="str">
        <f>IF($B24="","",IFERROR(INDEX('DATA PHÍ &amp; SẢN PHẨM'!$G$13:$G$200,MATCH($B24,'DATA PHÍ &amp; SẢN PHẨM'!$L$13:$L$200,0)),0))</f>
        <v/>
      </c>
      <c r="M24" s="24" t="str">
        <f t="shared" si="1"/>
        <v/>
      </c>
      <c r="N24" s="24" t="str">
        <f>IF($B24="","",$F24*'DATA PHÍ &amp; SẢN PHẨM'!$B$4)</f>
        <v/>
      </c>
      <c r="O24" s="24" t="str">
        <f>IF($B24="","",'DATA PHÍ &amp; SẢN PHẨM'!$B$5)</f>
        <v/>
      </c>
      <c r="P24" s="24" t="str">
        <f t="shared" si="2"/>
        <v/>
      </c>
      <c r="Q24" s="25" t="str">
        <f t="shared" si="3"/>
        <v/>
      </c>
      <c r="R24" s="26" t="str">
        <f t="shared" si="4"/>
        <v/>
      </c>
      <c r="S24" s="27" t="str">
        <f t="shared" si="5"/>
        <v/>
      </c>
      <c r="T24" s="28" t="str">
        <f t="shared" si="6"/>
        <v/>
      </c>
      <c r="U24" s="19"/>
    </row>
    <row r="25" spans="1:21" ht="16.05" customHeight="1">
      <c r="A25" s="18"/>
      <c r="B25" s="19"/>
      <c r="C25" s="19"/>
      <c r="D25" s="20"/>
      <c r="E25" s="20"/>
      <c r="F25" s="21" t="str">
        <f t="shared" si="0"/>
        <v/>
      </c>
      <c r="G25" s="21" t="str">
        <f>IF($B25="","",IFERROR(INDEX('DATA PHÍ &amp; SẢN PHẨM'!$M$13:$M$200,MATCH($B25,'DATA PHÍ &amp; SẢN PHẨM'!$L$13:$L$200,0)),0))</f>
        <v/>
      </c>
      <c r="H25" s="22"/>
      <c r="I25" s="20"/>
      <c r="J25" s="20"/>
      <c r="K25" s="23" t="str">
        <f>IF($B25="","",IFERROR(INDEX('DATA PHÍ &amp; SẢN PHẨM'!$F$13:$F$200,MATCH($B25,'DATA PHÍ &amp; SẢN PHẨM'!$L$13:$L$200,0)),0))</f>
        <v/>
      </c>
      <c r="L25" s="23" t="str">
        <f>IF($B25="","",IFERROR(INDEX('DATA PHÍ &amp; SẢN PHẨM'!$G$13:$G$200,MATCH($B25,'DATA PHÍ &amp; SẢN PHẨM'!$L$13:$L$200,0)),0))</f>
        <v/>
      </c>
      <c r="M25" s="24" t="str">
        <f t="shared" si="1"/>
        <v/>
      </c>
      <c r="N25" s="24" t="str">
        <f>IF($B25="","",$F25*'DATA PHÍ &amp; SẢN PHẨM'!$B$4)</f>
        <v/>
      </c>
      <c r="O25" s="24" t="str">
        <f>IF($B25="","",'DATA PHÍ &amp; SẢN PHẨM'!$B$5)</f>
        <v/>
      </c>
      <c r="P25" s="24" t="str">
        <f t="shared" si="2"/>
        <v/>
      </c>
      <c r="Q25" s="25" t="str">
        <f t="shared" si="3"/>
        <v/>
      </c>
      <c r="R25" s="26" t="str">
        <f t="shared" si="4"/>
        <v/>
      </c>
      <c r="S25" s="27" t="str">
        <f t="shared" si="5"/>
        <v/>
      </c>
      <c r="T25" s="28" t="str">
        <f t="shared" si="6"/>
        <v/>
      </c>
      <c r="U25" s="19"/>
    </row>
    <row r="26" spans="1:21" ht="16.05" customHeight="1">
      <c r="A26" s="18"/>
      <c r="B26" s="19"/>
      <c r="C26" s="19"/>
      <c r="D26" s="20"/>
      <c r="E26" s="20"/>
      <c r="F26" s="21" t="str">
        <f t="shared" si="0"/>
        <v/>
      </c>
      <c r="G26" s="21" t="str">
        <f>IF($B26="","",IFERROR(INDEX('DATA PHÍ &amp; SẢN PHẨM'!$M$13:$M$200,MATCH($B26,'DATA PHÍ &amp; SẢN PHẨM'!$L$13:$L$200,0)),0))</f>
        <v/>
      </c>
      <c r="H26" s="22"/>
      <c r="I26" s="20"/>
      <c r="J26" s="20"/>
      <c r="K26" s="23" t="str">
        <f>IF($B26="","",IFERROR(INDEX('DATA PHÍ &amp; SẢN PHẨM'!$F$13:$F$200,MATCH($B26,'DATA PHÍ &amp; SẢN PHẨM'!$L$13:$L$200,0)),0))</f>
        <v/>
      </c>
      <c r="L26" s="23" t="str">
        <f>IF($B26="","",IFERROR(INDEX('DATA PHÍ &amp; SẢN PHẨM'!$G$13:$G$200,MATCH($B26,'DATA PHÍ &amp; SẢN PHẨM'!$L$13:$L$200,0)),0))</f>
        <v/>
      </c>
      <c r="M26" s="24" t="str">
        <f t="shared" si="1"/>
        <v/>
      </c>
      <c r="N26" s="24" t="str">
        <f>IF($B26="","",$F26*'DATA PHÍ &amp; SẢN PHẨM'!$B$4)</f>
        <v/>
      </c>
      <c r="O26" s="24" t="str">
        <f>IF($B26="","",'DATA PHÍ &amp; SẢN PHẨM'!$B$5)</f>
        <v/>
      </c>
      <c r="P26" s="24" t="str">
        <f t="shared" si="2"/>
        <v/>
      </c>
      <c r="Q26" s="25" t="str">
        <f t="shared" si="3"/>
        <v/>
      </c>
      <c r="R26" s="26" t="str">
        <f t="shared" si="4"/>
        <v/>
      </c>
      <c r="S26" s="27" t="str">
        <f t="shared" si="5"/>
        <v/>
      </c>
      <c r="T26" s="28" t="str">
        <f t="shared" si="6"/>
        <v/>
      </c>
      <c r="U26" s="19"/>
    </row>
    <row r="27" spans="1:21" ht="16.05" customHeight="1">
      <c r="A27" s="18"/>
      <c r="B27" s="19"/>
      <c r="C27" s="19"/>
      <c r="D27" s="20"/>
      <c r="E27" s="20"/>
      <c r="F27" s="21" t="str">
        <f t="shared" si="0"/>
        <v/>
      </c>
      <c r="G27" s="21" t="str">
        <f>IF($B27="","",IFERROR(INDEX('DATA PHÍ &amp; SẢN PHẨM'!$M$13:$M$200,MATCH($B27,'DATA PHÍ &amp; SẢN PHẨM'!$L$13:$L$200,0)),0))</f>
        <v/>
      </c>
      <c r="H27" s="22"/>
      <c r="I27" s="20"/>
      <c r="J27" s="20"/>
      <c r="K27" s="23" t="str">
        <f>IF($B27="","",IFERROR(INDEX('DATA PHÍ &amp; SẢN PHẨM'!$F$13:$F$200,MATCH($B27,'DATA PHÍ &amp; SẢN PHẨM'!$L$13:$L$200,0)),0))</f>
        <v/>
      </c>
      <c r="L27" s="23" t="str">
        <f>IF($B27="","",IFERROR(INDEX('DATA PHÍ &amp; SẢN PHẨM'!$G$13:$G$200,MATCH($B27,'DATA PHÍ &amp; SẢN PHẨM'!$L$13:$L$200,0)),0))</f>
        <v/>
      </c>
      <c r="M27" s="24" t="str">
        <f t="shared" si="1"/>
        <v/>
      </c>
      <c r="N27" s="24" t="str">
        <f>IF($B27="","",$F27*'DATA PHÍ &amp; SẢN PHẨM'!$B$4)</f>
        <v/>
      </c>
      <c r="O27" s="24" t="str">
        <f>IF($B27="","",'DATA PHÍ &amp; SẢN PHẨM'!$B$5)</f>
        <v/>
      </c>
      <c r="P27" s="24" t="str">
        <f t="shared" si="2"/>
        <v/>
      </c>
      <c r="Q27" s="25" t="str">
        <f t="shared" si="3"/>
        <v/>
      </c>
      <c r="R27" s="26" t="str">
        <f t="shared" si="4"/>
        <v/>
      </c>
      <c r="S27" s="27" t="str">
        <f t="shared" si="5"/>
        <v/>
      </c>
      <c r="T27" s="28" t="str">
        <f t="shared" si="6"/>
        <v/>
      </c>
      <c r="U27" s="19"/>
    </row>
    <row r="28" spans="1:21" ht="16.05" customHeight="1">
      <c r="A28" s="18"/>
      <c r="B28" s="19"/>
      <c r="C28" s="19"/>
      <c r="D28" s="20"/>
      <c r="E28" s="20"/>
      <c r="F28" s="21" t="str">
        <f t="shared" si="0"/>
        <v/>
      </c>
      <c r="G28" s="21" t="str">
        <f>IF($B28="","",IFERROR(INDEX('DATA PHÍ &amp; SẢN PHẨM'!$M$13:$M$200,MATCH($B28,'DATA PHÍ &amp; SẢN PHẨM'!$L$13:$L$200,0)),0))</f>
        <v/>
      </c>
      <c r="H28" s="22"/>
      <c r="I28" s="20"/>
      <c r="J28" s="20"/>
      <c r="K28" s="23" t="str">
        <f>IF($B28="","",IFERROR(INDEX('DATA PHÍ &amp; SẢN PHẨM'!$F$13:$F$200,MATCH($B28,'DATA PHÍ &amp; SẢN PHẨM'!$L$13:$L$200,0)),0))</f>
        <v/>
      </c>
      <c r="L28" s="23" t="str">
        <f>IF($B28="","",IFERROR(INDEX('DATA PHÍ &amp; SẢN PHẨM'!$G$13:$G$200,MATCH($B28,'DATA PHÍ &amp; SẢN PHẨM'!$L$13:$L$200,0)),0))</f>
        <v/>
      </c>
      <c r="M28" s="24" t="str">
        <f t="shared" si="1"/>
        <v/>
      </c>
      <c r="N28" s="24" t="str">
        <f>IF($B28="","",$F28*'DATA PHÍ &amp; SẢN PHẨM'!$B$4)</f>
        <v/>
      </c>
      <c r="O28" s="24" t="str">
        <f>IF($B28="","",'DATA PHÍ &amp; SẢN PHẨM'!$B$5)</f>
        <v/>
      </c>
      <c r="P28" s="24" t="str">
        <f t="shared" si="2"/>
        <v/>
      </c>
      <c r="Q28" s="25" t="str">
        <f t="shared" si="3"/>
        <v/>
      </c>
      <c r="R28" s="26" t="str">
        <f t="shared" si="4"/>
        <v/>
      </c>
      <c r="S28" s="27" t="str">
        <f t="shared" si="5"/>
        <v/>
      </c>
      <c r="T28" s="28" t="str">
        <f t="shared" si="6"/>
        <v/>
      </c>
      <c r="U28" s="19"/>
    </row>
    <row r="29" spans="1:21" ht="16.05" customHeight="1">
      <c r="A29" s="18"/>
      <c r="B29" s="19"/>
      <c r="C29" s="19"/>
      <c r="D29" s="20"/>
      <c r="E29" s="20"/>
      <c r="F29" s="21" t="str">
        <f t="shared" si="0"/>
        <v/>
      </c>
      <c r="G29" s="21" t="str">
        <f>IF($B29="","",IFERROR(INDEX('DATA PHÍ &amp; SẢN PHẨM'!$M$13:$M$200,MATCH($B29,'DATA PHÍ &amp; SẢN PHẨM'!$L$13:$L$200,0)),0))</f>
        <v/>
      </c>
      <c r="H29" s="22"/>
      <c r="I29" s="20"/>
      <c r="J29" s="20"/>
      <c r="K29" s="23" t="str">
        <f>IF($B29="","",IFERROR(INDEX('DATA PHÍ &amp; SẢN PHẨM'!$F$13:$F$200,MATCH($B29,'DATA PHÍ &amp; SẢN PHẨM'!$L$13:$L$200,0)),0))</f>
        <v/>
      </c>
      <c r="L29" s="23" t="str">
        <f>IF($B29="","",IFERROR(INDEX('DATA PHÍ &amp; SẢN PHẨM'!$G$13:$G$200,MATCH($B29,'DATA PHÍ &amp; SẢN PHẨM'!$L$13:$L$200,0)),0))</f>
        <v/>
      </c>
      <c r="M29" s="24" t="str">
        <f t="shared" si="1"/>
        <v/>
      </c>
      <c r="N29" s="24" t="str">
        <f>IF($B29="","",$F29*'DATA PHÍ &amp; SẢN PHẨM'!$B$4)</f>
        <v/>
      </c>
      <c r="O29" s="24" t="str">
        <f>IF($B29="","",'DATA PHÍ &amp; SẢN PHẨM'!$B$5)</f>
        <v/>
      </c>
      <c r="P29" s="24" t="str">
        <f t="shared" si="2"/>
        <v/>
      </c>
      <c r="Q29" s="25" t="str">
        <f t="shared" si="3"/>
        <v/>
      </c>
      <c r="R29" s="26" t="str">
        <f t="shared" si="4"/>
        <v/>
      </c>
      <c r="S29" s="27" t="str">
        <f t="shared" si="5"/>
        <v/>
      </c>
      <c r="T29" s="28" t="str">
        <f t="shared" si="6"/>
        <v/>
      </c>
      <c r="U29" s="19"/>
    </row>
    <row r="30" spans="1:21" ht="16.05" customHeight="1">
      <c r="A30" s="18"/>
      <c r="B30" s="19"/>
      <c r="C30" s="19"/>
      <c r="D30" s="20"/>
      <c r="E30" s="20"/>
      <c r="F30" s="21" t="str">
        <f t="shared" si="0"/>
        <v/>
      </c>
      <c r="G30" s="21" t="str">
        <f>IF($B30="","",IFERROR(INDEX('DATA PHÍ &amp; SẢN PHẨM'!$M$13:$M$200,MATCH($B30,'DATA PHÍ &amp; SẢN PHẨM'!$L$13:$L$200,0)),0))</f>
        <v/>
      </c>
      <c r="H30" s="22"/>
      <c r="I30" s="20"/>
      <c r="J30" s="20"/>
      <c r="K30" s="23" t="str">
        <f>IF($B30="","",IFERROR(INDEX('DATA PHÍ &amp; SẢN PHẨM'!$F$13:$F$200,MATCH($B30,'DATA PHÍ &amp; SẢN PHẨM'!$L$13:$L$200,0)),0))</f>
        <v/>
      </c>
      <c r="L30" s="23" t="str">
        <f>IF($B30="","",IFERROR(INDEX('DATA PHÍ &amp; SẢN PHẨM'!$G$13:$G$200,MATCH($B30,'DATA PHÍ &amp; SẢN PHẨM'!$L$13:$L$200,0)),0))</f>
        <v/>
      </c>
      <c r="M30" s="24" t="str">
        <f t="shared" si="1"/>
        <v/>
      </c>
      <c r="N30" s="24" t="str">
        <f>IF($B30="","",$F30*'DATA PHÍ &amp; SẢN PHẨM'!$B$4)</f>
        <v/>
      </c>
      <c r="O30" s="24" t="str">
        <f>IF($B30="","",'DATA PHÍ &amp; SẢN PHẨM'!$B$5)</f>
        <v/>
      </c>
      <c r="P30" s="24" t="str">
        <f t="shared" si="2"/>
        <v/>
      </c>
      <c r="Q30" s="25" t="str">
        <f t="shared" si="3"/>
        <v/>
      </c>
      <c r="R30" s="26" t="str">
        <f t="shared" si="4"/>
        <v/>
      </c>
      <c r="S30" s="27" t="str">
        <f t="shared" si="5"/>
        <v/>
      </c>
      <c r="T30" s="28" t="str">
        <f t="shared" si="6"/>
        <v/>
      </c>
      <c r="U30" s="19"/>
    </row>
    <row r="31" spans="1:21" ht="16.05" customHeight="1">
      <c r="A31" s="18"/>
      <c r="B31" s="19"/>
      <c r="C31" s="19"/>
      <c r="D31" s="20"/>
      <c r="E31" s="20"/>
      <c r="F31" s="21" t="str">
        <f t="shared" si="0"/>
        <v/>
      </c>
      <c r="G31" s="21" t="str">
        <f>IF($B31="","",IFERROR(INDEX('DATA PHÍ &amp; SẢN PHẨM'!$M$13:$M$200,MATCH($B31,'DATA PHÍ &amp; SẢN PHẨM'!$L$13:$L$200,0)),0))</f>
        <v/>
      </c>
      <c r="H31" s="22"/>
      <c r="I31" s="20"/>
      <c r="J31" s="20"/>
      <c r="K31" s="23" t="str">
        <f>IF($B31="","",IFERROR(INDEX('DATA PHÍ &amp; SẢN PHẨM'!$F$13:$F$200,MATCH($B31,'DATA PHÍ &amp; SẢN PHẨM'!$L$13:$L$200,0)),0))</f>
        <v/>
      </c>
      <c r="L31" s="23" t="str">
        <f>IF($B31="","",IFERROR(INDEX('DATA PHÍ &amp; SẢN PHẨM'!$G$13:$G$200,MATCH($B31,'DATA PHÍ &amp; SẢN PHẨM'!$L$13:$L$200,0)),0))</f>
        <v/>
      </c>
      <c r="M31" s="24" t="str">
        <f t="shared" si="1"/>
        <v/>
      </c>
      <c r="N31" s="24" t="str">
        <f>IF($B31="","",$F31*'DATA PHÍ &amp; SẢN PHẨM'!$B$4)</f>
        <v/>
      </c>
      <c r="O31" s="24" t="str">
        <f>IF($B31="","",'DATA PHÍ &amp; SẢN PHẨM'!$B$5)</f>
        <v/>
      </c>
      <c r="P31" s="24" t="str">
        <f t="shared" si="2"/>
        <v/>
      </c>
      <c r="Q31" s="25" t="str">
        <f t="shared" si="3"/>
        <v/>
      </c>
      <c r="R31" s="26" t="str">
        <f t="shared" si="4"/>
        <v/>
      </c>
      <c r="S31" s="27" t="str">
        <f t="shared" si="5"/>
        <v/>
      </c>
      <c r="T31" s="28" t="str">
        <f t="shared" si="6"/>
        <v/>
      </c>
      <c r="U31" s="19"/>
    </row>
    <row r="32" spans="1:21" ht="16.05" customHeight="1">
      <c r="A32" s="18"/>
      <c r="B32" s="19"/>
      <c r="C32" s="19"/>
      <c r="D32" s="20"/>
      <c r="E32" s="20"/>
      <c r="F32" s="21" t="str">
        <f t="shared" si="0"/>
        <v/>
      </c>
      <c r="G32" s="21" t="str">
        <f>IF($B32="","",IFERROR(INDEX('DATA PHÍ &amp; SẢN PHẨM'!$M$13:$M$200,MATCH($B32,'DATA PHÍ &amp; SẢN PHẨM'!$L$13:$L$200,0)),0))</f>
        <v/>
      </c>
      <c r="H32" s="22"/>
      <c r="I32" s="20"/>
      <c r="J32" s="20"/>
      <c r="K32" s="23" t="str">
        <f>IF($B32="","",IFERROR(INDEX('DATA PHÍ &amp; SẢN PHẨM'!$F$13:$F$200,MATCH($B32,'DATA PHÍ &amp; SẢN PHẨM'!$L$13:$L$200,0)),0))</f>
        <v/>
      </c>
      <c r="L32" s="23" t="str">
        <f>IF($B32="","",IFERROR(INDEX('DATA PHÍ &amp; SẢN PHẨM'!$G$13:$G$200,MATCH($B32,'DATA PHÍ &amp; SẢN PHẨM'!$L$13:$L$200,0)),0))</f>
        <v/>
      </c>
      <c r="M32" s="24" t="str">
        <f t="shared" si="1"/>
        <v/>
      </c>
      <c r="N32" s="24" t="str">
        <f>IF($B32="","",$F32*'DATA PHÍ &amp; SẢN PHẨM'!$B$4)</f>
        <v/>
      </c>
      <c r="O32" s="24" t="str">
        <f>IF($B32="","",'DATA PHÍ &amp; SẢN PHẨM'!$B$5)</f>
        <v/>
      </c>
      <c r="P32" s="24" t="str">
        <f t="shared" si="2"/>
        <v/>
      </c>
      <c r="Q32" s="25" t="str">
        <f t="shared" si="3"/>
        <v/>
      </c>
      <c r="R32" s="26" t="str">
        <f t="shared" si="4"/>
        <v/>
      </c>
      <c r="S32" s="27" t="str">
        <f t="shared" si="5"/>
        <v/>
      </c>
      <c r="T32" s="28" t="str">
        <f t="shared" si="6"/>
        <v/>
      </c>
      <c r="U32" s="19"/>
    </row>
    <row r="33" spans="1:21" ht="16.05" customHeight="1">
      <c r="A33" s="18"/>
      <c r="B33" s="19"/>
      <c r="C33" s="19"/>
      <c r="D33" s="20"/>
      <c r="E33" s="20"/>
      <c r="F33" s="21" t="str">
        <f t="shared" si="0"/>
        <v/>
      </c>
      <c r="G33" s="21" t="str">
        <f>IF($B33="","",IFERROR(INDEX('DATA PHÍ &amp; SẢN PHẨM'!$M$13:$M$200,MATCH($B33,'DATA PHÍ &amp; SẢN PHẨM'!$L$13:$L$200,0)),0))</f>
        <v/>
      </c>
      <c r="H33" s="22"/>
      <c r="I33" s="20"/>
      <c r="J33" s="20"/>
      <c r="K33" s="23" t="str">
        <f>IF($B33="","",IFERROR(INDEX('DATA PHÍ &amp; SẢN PHẨM'!$F$13:$F$200,MATCH($B33,'DATA PHÍ &amp; SẢN PHẨM'!$L$13:$L$200,0)),0))</f>
        <v/>
      </c>
      <c r="L33" s="23" t="str">
        <f>IF($B33="","",IFERROR(INDEX('DATA PHÍ &amp; SẢN PHẨM'!$G$13:$G$200,MATCH($B33,'DATA PHÍ &amp; SẢN PHẨM'!$L$13:$L$200,0)),0))</f>
        <v/>
      </c>
      <c r="M33" s="24" t="str">
        <f t="shared" si="1"/>
        <v/>
      </c>
      <c r="N33" s="24" t="str">
        <f>IF($B33="","",$F33*'DATA PHÍ &amp; SẢN PHẨM'!$B$4)</f>
        <v/>
      </c>
      <c r="O33" s="24" t="str">
        <f>IF($B33="","",'DATA PHÍ &amp; SẢN PHẨM'!$B$5)</f>
        <v/>
      </c>
      <c r="P33" s="24" t="str">
        <f t="shared" si="2"/>
        <v/>
      </c>
      <c r="Q33" s="25" t="str">
        <f t="shared" si="3"/>
        <v/>
      </c>
      <c r="R33" s="26" t="str">
        <f t="shared" si="4"/>
        <v/>
      </c>
      <c r="S33" s="27" t="str">
        <f t="shared" si="5"/>
        <v/>
      </c>
      <c r="T33" s="28" t="str">
        <f t="shared" si="6"/>
        <v/>
      </c>
      <c r="U33" s="19"/>
    </row>
    <row r="34" spans="1:21" ht="16.05" customHeight="1">
      <c r="A34" s="18"/>
      <c r="B34" s="19"/>
      <c r="C34" s="19"/>
      <c r="D34" s="20"/>
      <c r="E34" s="20"/>
      <c r="F34" s="21" t="str">
        <f t="shared" si="0"/>
        <v/>
      </c>
      <c r="G34" s="21" t="str">
        <f>IF($B34="","",IFERROR(INDEX('DATA PHÍ &amp; SẢN PHẨM'!$M$13:$M$200,MATCH($B34,'DATA PHÍ &amp; SẢN PHẨM'!$L$13:$L$200,0)),0))</f>
        <v/>
      </c>
      <c r="H34" s="22"/>
      <c r="I34" s="20"/>
      <c r="J34" s="20"/>
      <c r="K34" s="23" t="str">
        <f>IF($B34="","",IFERROR(INDEX('DATA PHÍ &amp; SẢN PHẨM'!$F$13:$F$200,MATCH($B34,'DATA PHÍ &amp; SẢN PHẨM'!$L$13:$L$200,0)),0))</f>
        <v/>
      </c>
      <c r="L34" s="23" t="str">
        <f>IF($B34="","",IFERROR(INDEX('DATA PHÍ &amp; SẢN PHẨM'!$G$13:$G$200,MATCH($B34,'DATA PHÍ &amp; SẢN PHẨM'!$L$13:$L$200,0)),0))</f>
        <v/>
      </c>
      <c r="M34" s="24" t="str">
        <f t="shared" si="1"/>
        <v/>
      </c>
      <c r="N34" s="24" t="str">
        <f>IF($B34="","",$F34*'DATA PHÍ &amp; SẢN PHẨM'!$B$4)</f>
        <v/>
      </c>
      <c r="O34" s="24" t="str">
        <f>IF($B34="","",'DATA PHÍ &amp; SẢN PHẨM'!$B$5)</f>
        <v/>
      </c>
      <c r="P34" s="24" t="str">
        <f t="shared" si="2"/>
        <v/>
      </c>
      <c r="Q34" s="25" t="str">
        <f t="shared" si="3"/>
        <v/>
      </c>
      <c r="R34" s="26" t="str">
        <f t="shared" si="4"/>
        <v/>
      </c>
      <c r="S34" s="27" t="str">
        <f t="shared" si="5"/>
        <v/>
      </c>
      <c r="T34" s="28" t="str">
        <f t="shared" si="6"/>
        <v/>
      </c>
      <c r="U34" s="19"/>
    </row>
    <row r="35" spans="1:21" ht="16.05" customHeight="1">
      <c r="A35" s="18"/>
      <c r="B35" s="19"/>
      <c r="C35" s="19"/>
      <c r="D35" s="20"/>
      <c r="E35" s="20"/>
      <c r="F35" s="21" t="str">
        <f t="shared" si="0"/>
        <v/>
      </c>
      <c r="G35" s="21" t="str">
        <f>IF($B35="","",IFERROR(INDEX('DATA PHÍ &amp; SẢN PHẨM'!$M$13:$M$200,MATCH($B35,'DATA PHÍ &amp; SẢN PHẨM'!$L$13:$L$200,0)),0))</f>
        <v/>
      </c>
      <c r="H35" s="22"/>
      <c r="I35" s="20"/>
      <c r="J35" s="20"/>
      <c r="K35" s="23" t="str">
        <f>IF($B35="","",IFERROR(INDEX('DATA PHÍ &amp; SẢN PHẨM'!$F$13:$F$200,MATCH($B35,'DATA PHÍ &amp; SẢN PHẨM'!$L$13:$L$200,0)),0))</f>
        <v/>
      </c>
      <c r="L35" s="23" t="str">
        <f>IF($B35="","",IFERROR(INDEX('DATA PHÍ &amp; SẢN PHẨM'!$G$13:$G$200,MATCH($B35,'DATA PHÍ &amp; SẢN PHẨM'!$L$13:$L$200,0)),0))</f>
        <v/>
      </c>
      <c r="M35" s="24" t="str">
        <f t="shared" si="1"/>
        <v/>
      </c>
      <c r="N35" s="24" t="str">
        <f>IF($B35="","",$F35*'DATA PHÍ &amp; SẢN PHẨM'!$B$4)</f>
        <v/>
      </c>
      <c r="O35" s="24" t="str">
        <f>IF($B35="","",'DATA PHÍ &amp; SẢN PHẨM'!$B$5)</f>
        <v/>
      </c>
      <c r="P35" s="24" t="str">
        <f t="shared" si="2"/>
        <v/>
      </c>
      <c r="Q35" s="25" t="str">
        <f t="shared" si="3"/>
        <v/>
      </c>
      <c r="R35" s="26" t="str">
        <f t="shared" si="4"/>
        <v/>
      </c>
      <c r="S35" s="27" t="str">
        <f t="shared" si="5"/>
        <v/>
      </c>
      <c r="T35" s="28" t="str">
        <f t="shared" si="6"/>
        <v/>
      </c>
      <c r="U35" s="19"/>
    </row>
    <row r="36" spans="1:21" ht="16.05" customHeight="1">
      <c r="A36" s="18"/>
      <c r="B36" s="19"/>
      <c r="C36" s="19"/>
      <c r="D36" s="20"/>
      <c r="E36" s="20"/>
      <c r="F36" s="21" t="str">
        <f t="shared" si="0"/>
        <v/>
      </c>
      <c r="G36" s="21" t="str">
        <f>IF($B36="","",IFERROR(INDEX('DATA PHÍ &amp; SẢN PHẨM'!$M$13:$M$200,MATCH($B36,'DATA PHÍ &amp; SẢN PHẨM'!$L$13:$L$200,0)),0))</f>
        <v/>
      </c>
      <c r="H36" s="22"/>
      <c r="I36" s="20"/>
      <c r="J36" s="20"/>
      <c r="K36" s="23" t="str">
        <f>IF($B36="","",IFERROR(INDEX('DATA PHÍ &amp; SẢN PHẨM'!$F$13:$F$200,MATCH($B36,'DATA PHÍ &amp; SẢN PHẨM'!$L$13:$L$200,0)),0))</f>
        <v/>
      </c>
      <c r="L36" s="23" t="str">
        <f>IF($B36="","",IFERROR(INDEX('DATA PHÍ &amp; SẢN PHẨM'!$G$13:$G$200,MATCH($B36,'DATA PHÍ &amp; SẢN PHẨM'!$L$13:$L$200,0)),0))</f>
        <v/>
      </c>
      <c r="M36" s="24" t="str">
        <f t="shared" si="1"/>
        <v/>
      </c>
      <c r="N36" s="24" t="str">
        <f>IF($B36="","",$F36*'DATA PHÍ &amp; SẢN PHẨM'!$B$4)</f>
        <v/>
      </c>
      <c r="O36" s="24" t="str">
        <f>IF($B36="","",'DATA PHÍ &amp; SẢN PHẨM'!$B$5)</f>
        <v/>
      </c>
      <c r="P36" s="24" t="str">
        <f t="shared" si="2"/>
        <v/>
      </c>
      <c r="Q36" s="25" t="str">
        <f t="shared" si="3"/>
        <v/>
      </c>
      <c r="R36" s="26" t="str">
        <f t="shared" si="4"/>
        <v/>
      </c>
      <c r="S36" s="27" t="str">
        <f t="shared" si="5"/>
        <v/>
      </c>
      <c r="T36" s="28" t="str">
        <f t="shared" si="6"/>
        <v/>
      </c>
      <c r="U36" s="19"/>
    </row>
    <row r="37" spans="1:21" ht="16.05" customHeight="1">
      <c r="A37" s="18"/>
      <c r="B37" s="19"/>
      <c r="C37" s="19"/>
      <c r="D37" s="20"/>
      <c r="E37" s="20"/>
      <c r="F37" s="21" t="str">
        <f t="shared" si="0"/>
        <v/>
      </c>
      <c r="G37" s="21" t="str">
        <f>IF($B37="","",IFERROR(INDEX('DATA PHÍ &amp; SẢN PHẨM'!$M$13:$M$200,MATCH($B37,'DATA PHÍ &amp; SẢN PHẨM'!$L$13:$L$200,0)),0))</f>
        <v/>
      </c>
      <c r="H37" s="22"/>
      <c r="I37" s="20"/>
      <c r="J37" s="20"/>
      <c r="K37" s="23" t="str">
        <f>IF($B37="","",IFERROR(INDEX('DATA PHÍ &amp; SẢN PHẨM'!$F$13:$F$200,MATCH($B37,'DATA PHÍ &amp; SẢN PHẨM'!$L$13:$L$200,0)),0))</f>
        <v/>
      </c>
      <c r="L37" s="23" t="str">
        <f>IF($B37="","",IFERROR(INDEX('DATA PHÍ &amp; SẢN PHẨM'!$G$13:$G$200,MATCH($B37,'DATA PHÍ &amp; SẢN PHẨM'!$L$13:$L$200,0)),0))</f>
        <v/>
      </c>
      <c r="M37" s="24" t="str">
        <f t="shared" si="1"/>
        <v/>
      </c>
      <c r="N37" s="24" t="str">
        <f>IF($B37="","",$F37*'DATA PHÍ &amp; SẢN PHẨM'!$B$4)</f>
        <v/>
      </c>
      <c r="O37" s="24" t="str">
        <f>IF($B37="","",'DATA PHÍ &amp; SẢN PHẨM'!$B$5)</f>
        <v/>
      </c>
      <c r="P37" s="24" t="str">
        <f t="shared" si="2"/>
        <v/>
      </c>
      <c r="Q37" s="25" t="str">
        <f t="shared" si="3"/>
        <v/>
      </c>
      <c r="R37" s="26" t="str">
        <f t="shared" si="4"/>
        <v/>
      </c>
      <c r="S37" s="27" t="str">
        <f t="shared" si="5"/>
        <v/>
      </c>
      <c r="T37" s="28" t="str">
        <f t="shared" si="6"/>
        <v/>
      </c>
      <c r="U37" s="19"/>
    </row>
    <row r="38" spans="1:21" ht="16.05" customHeight="1">
      <c r="A38" s="18"/>
      <c r="B38" s="19"/>
      <c r="C38" s="19"/>
      <c r="D38" s="20"/>
      <c r="E38" s="20"/>
      <c r="F38" s="21" t="str">
        <f t="shared" si="0"/>
        <v/>
      </c>
      <c r="G38" s="21" t="str">
        <f>IF($B38="","",IFERROR(INDEX('DATA PHÍ &amp; SẢN PHẨM'!$M$13:$M$200,MATCH($B38,'DATA PHÍ &amp; SẢN PHẨM'!$L$13:$L$200,0)),0))</f>
        <v/>
      </c>
      <c r="H38" s="22"/>
      <c r="I38" s="20"/>
      <c r="J38" s="20"/>
      <c r="K38" s="23" t="str">
        <f>IF($B38="","",IFERROR(INDEX('DATA PHÍ &amp; SẢN PHẨM'!$F$13:$F$200,MATCH($B38,'DATA PHÍ &amp; SẢN PHẨM'!$L$13:$L$200,0)),0))</f>
        <v/>
      </c>
      <c r="L38" s="23" t="str">
        <f>IF($B38="","",IFERROR(INDEX('DATA PHÍ &amp; SẢN PHẨM'!$G$13:$G$200,MATCH($B38,'DATA PHÍ &amp; SẢN PHẨM'!$L$13:$L$200,0)),0))</f>
        <v/>
      </c>
      <c r="M38" s="24" t="str">
        <f t="shared" si="1"/>
        <v/>
      </c>
      <c r="N38" s="24" t="str">
        <f>IF($B38="","",$F38*'DATA PHÍ &amp; SẢN PHẨM'!$B$4)</f>
        <v/>
      </c>
      <c r="O38" s="24" t="str">
        <f>IF($B38="","",'DATA PHÍ &amp; SẢN PHẨM'!$B$5)</f>
        <v/>
      </c>
      <c r="P38" s="24" t="str">
        <f t="shared" si="2"/>
        <v/>
      </c>
      <c r="Q38" s="25" t="str">
        <f t="shared" si="3"/>
        <v/>
      </c>
      <c r="R38" s="26" t="str">
        <f t="shared" si="4"/>
        <v/>
      </c>
      <c r="S38" s="27" t="str">
        <f t="shared" si="5"/>
        <v/>
      </c>
      <c r="T38" s="28" t="str">
        <f t="shared" si="6"/>
        <v/>
      </c>
      <c r="U38" s="19"/>
    </row>
    <row r="39" spans="1:21" ht="16.05" customHeight="1">
      <c r="A39" s="18"/>
      <c r="B39" s="19"/>
      <c r="C39" s="19"/>
      <c r="D39" s="20"/>
      <c r="E39" s="20"/>
      <c r="F39" s="21" t="str">
        <f t="shared" si="0"/>
        <v/>
      </c>
      <c r="G39" s="21" t="str">
        <f>IF($B39="","",IFERROR(INDEX('DATA PHÍ &amp; SẢN PHẨM'!$M$13:$M$200,MATCH($B39,'DATA PHÍ &amp; SẢN PHẨM'!$L$13:$L$200,0)),0))</f>
        <v/>
      </c>
      <c r="H39" s="22"/>
      <c r="I39" s="20"/>
      <c r="J39" s="20"/>
      <c r="K39" s="23" t="str">
        <f>IF($B39="","",IFERROR(INDEX('DATA PHÍ &amp; SẢN PHẨM'!$F$13:$F$200,MATCH($B39,'DATA PHÍ &amp; SẢN PHẨM'!$L$13:$L$200,0)),0))</f>
        <v/>
      </c>
      <c r="L39" s="23" t="str">
        <f>IF($B39="","",IFERROR(INDEX('DATA PHÍ &amp; SẢN PHẨM'!$G$13:$G$200,MATCH($B39,'DATA PHÍ &amp; SẢN PHẨM'!$L$13:$L$200,0)),0))</f>
        <v/>
      </c>
      <c r="M39" s="24" t="str">
        <f t="shared" si="1"/>
        <v/>
      </c>
      <c r="N39" s="24" t="str">
        <f>IF($B39="","",$F39*'DATA PHÍ &amp; SẢN PHẨM'!$B$4)</f>
        <v/>
      </c>
      <c r="O39" s="24" t="str">
        <f>IF($B39="","",'DATA PHÍ &amp; SẢN PHẨM'!$B$5)</f>
        <v/>
      </c>
      <c r="P39" s="24" t="str">
        <f t="shared" si="2"/>
        <v/>
      </c>
      <c r="Q39" s="25" t="str">
        <f t="shared" si="3"/>
        <v/>
      </c>
      <c r="R39" s="26" t="str">
        <f t="shared" si="4"/>
        <v/>
      </c>
      <c r="S39" s="27" t="str">
        <f t="shared" si="5"/>
        <v/>
      </c>
      <c r="T39" s="28" t="str">
        <f t="shared" si="6"/>
        <v/>
      </c>
      <c r="U39" s="19"/>
    </row>
    <row r="40" spans="1:21" ht="16.05" customHeight="1">
      <c r="A40" s="18"/>
      <c r="B40" s="19"/>
      <c r="C40" s="19"/>
      <c r="D40" s="20"/>
      <c r="E40" s="20"/>
      <c r="F40" s="21" t="str">
        <f t="shared" si="0"/>
        <v/>
      </c>
      <c r="G40" s="21" t="str">
        <f>IF($B40="","",IFERROR(INDEX('DATA PHÍ &amp; SẢN PHẨM'!$M$13:$M$200,MATCH($B40,'DATA PHÍ &amp; SẢN PHẨM'!$L$13:$L$200,0)),0))</f>
        <v/>
      </c>
      <c r="H40" s="22"/>
      <c r="I40" s="20"/>
      <c r="J40" s="20"/>
      <c r="K40" s="23" t="str">
        <f>IF($B40="","",IFERROR(INDEX('DATA PHÍ &amp; SẢN PHẨM'!$F$13:$F$200,MATCH($B40,'DATA PHÍ &amp; SẢN PHẨM'!$L$13:$L$200,0)),0))</f>
        <v/>
      </c>
      <c r="L40" s="23" t="str">
        <f>IF($B40="","",IFERROR(INDEX('DATA PHÍ &amp; SẢN PHẨM'!$G$13:$G$200,MATCH($B40,'DATA PHÍ &amp; SẢN PHẨM'!$L$13:$L$200,0)),0))</f>
        <v/>
      </c>
      <c r="M40" s="24" t="str">
        <f t="shared" si="1"/>
        <v/>
      </c>
      <c r="N40" s="24" t="str">
        <f>IF($B40="","",$F40*'DATA PHÍ &amp; SẢN PHẨM'!$B$4)</f>
        <v/>
      </c>
      <c r="O40" s="24" t="str">
        <f>IF($B40="","",'DATA PHÍ &amp; SẢN PHẨM'!$B$5)</f>
        <v/>
      </c>
      <c r="P40" s="24" t="str">
        <f t="shared" si="2"/>
        <v/>
      </c>
      <c r="Q40" s="25" t="str">
        <f t="shared" si="3"/>
        <v/>
      </c>
      <c r="R40" s="26" t="str">
        <f t="shared" si="4"/>
        <v/>
      </c>
      <c r="S40" s="27" t="str">
        <f t="shared" si="5"/>
        <v/>
      </c>
      <c r="T40" s="28" t="str">
        <f t="shared" si="6"/>
        <v/>
      </c>
      <c r="U40" s="19"/>
    </row>
    <row r="41" spans="1:21" ht="16.05" customHeight="1">
      <c r="A41" s="18"/>
      <c r="B41" s="19"/>
      <c r="C41" s="19"/>
      <c r="D41" s="20"/>
      <c r="E41" s="20"/>
      <c r="F41" s="21" t="str">
        <f t="shared" si="0"/>
        <v/>
      </c>
      <c r="G41" s="21" t="str">
        <f>IF($B41="","",IFERROR(INDEX('DATA PHÍ &amp; SẢN PHẨM'!$M$13:$M$200,MATCH($B41,'DATA PHÍ &amp; SẢN PHẨM'!$L$13:$L$200,0)),0))</f>
        <v/>
      </c>
      <c r="H41" s="22"/>
      <c r="I41" s="20"/>
      <c r="J41" s="20"/>
      <c r="K41" s="23" t="str">
        <f>IF($B41="","",IFERROR(INDEX('DATA PHÍ &amp; SẢN PHẨM'!$F$13:$F$200,MATCH($B41,'DATA PHÍ &amp; SẢN PHẨM'!$L$13:$L$200,0)),0))</f>
        <v/>
      </c>
      <c r="L41" s="23" t="str">
        <f>IF($B41="","",IFERROR(INDEX('DATA PHÍ &amp; SẢN PHẨM'!$G$13:$G$200,MATCH($B41,'DATA PHÍ &amp; SẢN PHẨM'!$L$13:$L$200,0)),0))</f>
        <v/>
      </c>
      <c r="M41" s="24" t="str">
        <f t="shared" si="1"/>
        <v/>
      </c>
      <c r="N41" s="24" t="str">
        <f>IF($B41="","",$F41*'DATA PHÍ &amp; SẢN PHẨM'!$B$4)</f>
        <v/>
      </c>
      <c r="O41" s="24" t="str">
        <f>IF($B41="","",'DATA PHÍ &amp; SẢN PHẨM'!$B$5)</f>
        <v/>
      </c>
      <c r="P41" s="24" t="str">
        <f t="shared" si="2"/>
        <v/>
      </c>
      <c r="Q41" s="25" t="str">
        <f t="shared" si="3"/>
        <v/>
      </c>
      <c r="R41" s="26" t="str">
        <f t="shared" si="4"/>
        <v/>
      </c>
      <c r="S41" s="27" t="str">
        <f t="shared" si="5"/>
        <v/>
      </c>
      <c r="T41" s="28" t="str">
        <f t="shared" si="6"/>
        <v/>
      </c>
      <c r="U41" s="19"/>
    </row>
    <row r="42" spans="1:21" ht="16.05" customHeight="1">
      <c r="A42" s="18"/>
      <c r="B42" s="19"/>
      <c r="C42" s="19"/>
      <c r="D42" s="20"/>
      <c r="E42" s="20"/>
      <c r="F42" s="21" t="str">
        <f t="shared" si="0"/>
        <v/>
      </c>
      <c r="G42" s="21" t="str">
        <f>IF($B42="","",IFERROR(INDEX('DATA PHÍ &amp; SẢN PHẨM'!$M$13:$M$200,MATCH($B42,'DATA PHÍ &amp; SẢN PHẨM'!$L$13:$L$200,0)),0))</f>
        <v/>
      </c>
      <c r="H42" s="22"/>
      <c r="I42" s="20"/>
      <c r="J42" s="20"/>
      <c r="K42" s="23" t="str">
        <f>IF($B42="","",IFERROR(INDEX('DATA PHÍ &amp; SẢN PHẨM'!$F$13:$F$200,MATCH($B42,'DATA PHÍ &amp; SẢN PHẨM'!$L$13:$L$200,0)),0))</f>
        <v/>
      </c>
      <c r="L42" s="23" t="str">
        <f>IF($B42="","",IFERROR(INDEX('DATA PHÍ &amp; SẢN PHẨM'!$G$13:$G$200,MATCH($B42,'DATA PHÍ &amp; SẢN PHẨM'!$L$13:$L$200,0)),0))</f>
        <v/>
      </c>
      <c r="M42" s="24" t="str">
        <f t="shared" si="1"/>
        <v/>
      </c>
      <c r="N42" s="24" t="str">
        <f>IF($B42="","",$F42*'DATA PHÍ &amp; SẢN PHẨM'!$B$4)</f>
        <v/>
      </c>
      <c r="O42" s="24" t="str">
        <f>IF($B42="","",'DATA PHÍ &amp; SẢN PHẨM'!$B$5)</f>
        <v/>
      </c>
      <c r="P42" s="24" t="str">
        <f t="shared" si="2"/>
        <v/>
      </c>
      <c r="Q42" s="25" t="str">
        <f t="shared" si="3"/>
        <v/>
      </c>
      <c r="R42" s="26" t="str">
        <f t="shared" si="4"/>
        <v/>
      </c>
      <c r="S42" s="27" t="str">
        <f t="shared" si="5"/>
        <v/>
      </c>
      <c r="T42" s="28" t="str">
        <f t="shared" si="6"/>
        <v/>
      </c>
      <c r="U42" s="19"/>
    </row>
    <row r="43" spans="1:21" ht="16.05" customHeight="1">
      <c r="A43" s="18"/>
      <c r="B43" s="19"/>
      <c r="C43" s="19"/>
      <c r="D43" s="20"/>
      <c r="E43" s="20"/>
      <c r="F43" s="21" t="str">
        <f t="shared" ref="F43:F74" si="7">IF($B43="","",$D43-$E43)</f>
        <v/>
      </c>
      <c r="G43" s="21" t="str">
        <f>IF($B43="","",IFERROR(INDEX('DATA PHÍ &amp; SẢN PHẨM'!$M$13:$M$200,MATCH($B43,'DATA PHÍ &amp; SẢN PHẨM'!$L$13:$L$200,0)),0))</f>
        <v/>
      </c>
      <c r="H43" s="22"/>
      <c r="I43" s="20"/>
      <c r="J43" s="20"/>
      <c r="K43" s="23" t="str">
        <f>IF($B43="","",IFERROR(INDEX('DATA PHÍ &amp; SẢN PHẨM'!$F$13:$F$200,MATCH($B43,'DATA PHÍ &amp; SẢN PHẨM'!$L$13:$L$200,0)),0))</f>
        <v/>
      </c>
      <c r="L43" s="23" t="str">
        <f>IF($B43="","",IFERROR(INDEX('DATA PHÍ &amp; SẢN PHẨM'!$G$13:$G$200,MATCH($B43,'DATA PHÍ &amp; SẢN PHẨM'!$L$13:$L$200,0)),0))</f>
        <v/>
      </c>
      <c r="M43" s="24" t="str">
        <f t="shared" ref="M43:M74" si="8">IF($B43="","",$F43*IF($C43="Mall",$L43,$K43))</f>
        <v/>
      </c>
      <c r="N43" s="24" t="str">
        <f>IF($B43="","",$F43*'DATA PHÍ &amp; SẢN PHẨM'!$B$4)</f>
        <v/>
      </c>
      <c r="O43" s="24" t="str">
        <f>IF($B43="","",'DATA PHÍ &amp; SẢN PHẨM'!$B$5)</f>
        <v/>
      </c>
      <c r="P43" s="24" t="str">
        <f t="shared" ref="P43:P74" si="9">IF($B43="","",SUM(M43:O43))</f>
        <v/>
      </c>
      <c r="Q43" s="25" t="str">
        <f t="shared" ref="Q43:Q74" si="10">IF($B43="","",SUM(G43,I43,J43,P43)+($F43*$H43))</f>
        <v/>
      </c>
      <c r="R43" s="26" t="str">
        <f t="shared" ref="R43:R74" si="11">IF($B43="","",$F43-$Q43)</f>
        <v/>
      </c>
      <c r="S43" s="27" t="str">
        <f t="shared" ref="S43:S74" si="12">IF($B43="","",IFERROR($R43/$F43,0))</f>
        <v/>
      </c>
      <c r="T43" s="28" t="str">
        <f t="shared" ref="T43:T74" si="13">IF($B43="","",IF($R43&lt;0,"LỖ",IF($S43&lt;0.05,"RẤT NGUY HIỂM",IF($S43&lt;0.1,"LÃI THẤP",IF($S43&lt;0.2,"ỔN","TỐT")))))</f>
        <v/>
      </c>
      <c r="U43" s="19"/>
    </row>
    <row r="44" spans="1:21" ht="16.05" customHeight="1">
      <c r="A44" s="18"/>
      <c r="B44" s="19"/>
      <c r="C44" s="19"/>
      <c r="D44" s="20"/>
      <c r="E44" s="20"/>
      <c r="F44" s="21" t="str">
        <f t="shared" si="7"/>
        <v/>
      </c>
      <c r="G44" s="21" t="str">
        <f>IF($B44="","",IFERROR(INDEX('DATA PHÍ &amp; SẢN PHẨM'!$M$13:$M$200,MATCH($B44,'DATA PHÍ &amp; SẢN PHẨM'!$L$13:$L$200,0)),0))</f>
        <v/>
      </c>
      <c r="H44" s="22"/>
      <c r="I44" s="20"/>
      <c r="J44" s="20"/>
      <c r="K44" s="23" t="str">
        <f>IF($B44="","",IFERROR(INDEX('DATA PHÍ &amp; SẢN PHẨM'!$F$13:$F$200,MATCH($B44,'DATA PHÍ &amp; SẢN PHẨM'!$L$13:$L$200,0)),0))</f>
        <v/>
      </c>
      <c r="L44" s="23" t="str">
        <f>IF($B44="","",IFERROR(INDEX('DATA PHÍ &amp; SẢN PHẨM'!$G$13:$G$200,MATCH($B44,'DATA PHÍ &amp; SẢN PHẨM'!$L$13:$L$200,0)),0))</f>
        <v/>
      </c>
      <c r="M44" s="24" t="str">
        <f t="shared" si="8"/>
        <v/>
      </c>
      <c r="N44" s="24" t="str">
        <f>IF($B44="","",$F44*'DATA PHÍ &amp; SẢN PHẨM'!$B$4)</f>
        <v/>
      </c>
      <c r="O44" s="24" t="str">
        <f>IF($B44="","",'DATA PHÍ &amp; SẢN PHẨM'!$B$5)</f>
        <v/>
      </c>
      <c r="P44" s="24" t="str">
        <f t="shared" si="9"/>
        <v/>
      </c>
      <c r="Q44" s="25" t="str">
        <f t="shared" si="10"/>
        <v/>
      </c>
      <c r="R44" s="26" t="str">
        <f t="shared" si="11"/>
        <v/>
      </c>
      <c r="S44" s="27" t="str">
        <f t="shared" si="12"/>
        <v/>
      </c>
      <c r="T44" s="28" t="str">
        <f t="shared" si="13"/>
        <v/>
      </c>
      <c r="U44" s="19"/>
    </row>
    <row r="45" spans="1:21" ht="16.05" customHeight="1">
      <c r="A45" s="18"/>
      <c r="B45" s="19"/>
      <c r="C45" s="19"/>
      <c r="D45" s="20"/>
      <c r="E45" s="20"/>
      <c r="F45" s="21" t="str">
        <f t="shared" si="7"/>
        <v/>
      </c>
      <c r="G45" s="21" t="str">
        <f>IF($B45="","",IFERROR(INDEX('DATA PHÍ &amp; SẢN PHẨM'!$M$13:$M$200,MATCH($B45,'DATA PHÍ &amp; SẢN PHẨM'!$L$13:$L$200,0)),0))</f>
        <v/>
      </c>
      <c r="H45" s="22"/>
      <c r="I45" s="20"/>
      <c r="J45" s="20"/>
      <c r="K45" s="23" t="str">
        <f>IF($B45="","",IFERROR(INDEX('DATA PHÍ &amp; SẢN PHẨM'!$F$13:$F$200,MATCH($B45,'DATA PHÍ &amp; SẢN PHẨM'!$L$13:$L$200,0)),0))</f>
        <v/>
      </c>
      <c r="L45" s="23" t="str">
        <f>IF($B45="","",IFERROR(INDEX('DATA PHÍ &amp; SẢN PHẨM'!$G$13:$G$200,MATCH($B45,'DATA PHÍ &amp; SẢN PHẨM'!$L$13:$L$200,0)),0))</f>
        <v/>
      </c>
      <c r="M45" s="24" t="str">
        <f t="shared" si="8"/>
        <v/>
      </c>
      <c r="N45" s="24" t="str">
        <f>IF($B45="","",$F45*'DATA PHÍ &amp; SẢN PHẨM'!$B$4)</f>
        <v/>
      </c>
      <c r="O45" s="24" t="str">
        <f>IF($B45="","",'DATA PHÍ &amp; SẢN PHẨM'!$B$5)</f>
        <v/>
      </c>
      <c r="P45" s="24" t="str">
        <f t="shared" si="9"/>
        <v/>
      </c>
      <c r="Q45" s="25" t="str">
        <f t="shared" si="10"/>
        <v/>
      </c>
      <c r="R45" s="26" t="str">
        <f t="shared" si="11"/>
        <v/>
      </c>
      <c r="S45" s="27" t="str">
        <f t="shared" si="12"/>
        <v/>
      </c>
      <c r="T45" s="28" t="str">
        <f t="shared" si="13"/>
        <v/>
      </c>
      <c r="U45" s="19"/>
    </row>
    <row r="46" spans="1:21" ht="16.05" customHeight="1">
      <c r="A46" s="18"/>
      <c r="B46" s="19"/>
      <c r="C46" s="19"/>
      <c r="D46" s="20"/>
      <c r="E46" s="20"/>
      <c r="F46" s="21" t="str">
        <f t="shared" si="7"/>
        <v/>
      </c>
      <c r="G46" s="21" t="str">
        <f>IF($B46="","",IFERROR(INDEX('DATA PHÍ &amp; SẢN PHẨM'!$M$13:$M$200,MATCH($B46,'DATA PHÍ &amp; SẢN PHẨM'!$L$13:$L$200,0)),0))</f>
        <v/>
      </c>
      <c r="H46" s="22"/>
      <c r="I46" s="20"/>
      <c r="J46" s="20"/>
      <c r="K46" s="23" t="str">
        <f>IF($B46="","",IFERROR(INDEX('DATA PHÍ &amp; SẢN PHẨM'!$F$13:$F$200,MATCH($B46,'DATA PHÍ &amp; SẢN PHẨM'!$L$13:$L$200,0)),0))</f>
        <v/>
      </c>
      <c r="L46" s="23" t="str">
        <f>IF($B46="","",IFERROR(INDEX('DATA PHÍ &amp; SẢN PHẨM'!$G$13:$G$200,MATCH($B46,'DATA PHÍ &amp; SẢN PHẨM'!$L$13:$L$200,0)),0))</f>
        <v/>
      </c>
      <c r="M46" s="24" t="str">
        <f t="shared" si="8"/>
        <v/>
      </c>
      <c r="N46" s="24" t="str">
        <f>IF($B46="","",$F46*'DATA PHÍ &amp; SẢN PHẨM'!$B$4)</f>
        <v/>
      </c>
      <c r="O46" s="24" t="str">
        <f>IF($B46="","",'DATA PHÍ &amp; SẢN PHẨM'!$B$5)</f>
        <v/>
      </c>
      <c r="P46" s="24" t="str">
        <f t="shared" si="9"/>
        <v/>
      </c>
      <c r="Q46" s="25" t="str">
        <f t="shared" si="10"/>
        <v/>
      </c>
      <c r="R46" s="26" t="str">
        <f t="shared" si="11"/>
        <v/>
      </c>
      <c r="S46" s="27" t="str">
        <f t="shared" si="12"/>
        <v/>
      </c>
      <c r="T46" s="28" t="str">
        <f t="shared" si="13"/>
        <v/>
      </c>
      <c r="U46" s="19"/>
    </row>
    <row r="47" spans="1:21" ht="16.05" customHeight="1">
      <c r="A47" s="18"/>
      <c r="B47" s="19"/>
      <c r="C47" s="19"/>
      <c r="D47" s="20"/>
      <c r="E47" s="20"/>
      <c r="F47" s="21" t="str">
        <f t="shared" si="7"/>
        <v/>
      </c>
      <c r="G47" s="21" t="str">
        <f>IF($B47="","",IFERROR(INDEX('DATA PHÍ &amp; SẢN PHẨM'!$M$13:$M$200,MATCH($B47,'DATA PHÍ &amp; SẢN PHẨM'!$L$13:$L$200,0)),0))</f>
        <v/>
      </c>
      <c r="H47" s="22"/>
      <c r="I47" s="20"/>
      <c r="J47" s="20"/>
      <c r="K47" s="23" t="str">
        <f>IF($B47="","",IFERROR(INDEX('DATA PHÍ &amp; SẢN PHẨM'!$F$13:$F$200,MATCH($B47,'DATA PHÍ &amp; SẢN PHẨM'!$L$13:$L$200,0)),0))</f>
        <v/>
      </c>
      <c r="L47" s="23" t="str">
        <f>IF($B47="","",IFERROR(INDEX('DATA PHÍ &amp; SẢN PHẨM'!$G$13:$G$200,MATCH($B47,'DATA PHÍ &amp; SẢN PHẨM'!$L$13:$L$200,0)),0))</f>
        <v/>
      </c>
      <c r="M47" s="24" t="str">
        <f t="shared" si="8"/>
        <v/>
      </c>
      <c r="N47" s="24" t="str">
        <f>IF($B47="","",$F47*'DATA PHÍ &amp; SẢN PHẨM'!$B$4)</f>
        <v/>
      </c>
      <c r="O47" s="24" t="str">
        <f>IF($B47="","",'DATA PHÍ &amp; SẢN PHẨM'!$B$5)</f>
        <v/>
      </c>
      <c r="P47" s="24" t="str">
        <f t="shared" si="9"/>
        <v/>
      </c>
      <c r="Q47" s="25" t="str">
        <f t="shared" si="10"/>
        <v/>
      </c>
      <c r="R47" s="26" t="str">
        <f t="shared" si="11"/>
        <v/>
      </c>
      <c r="S47" s="27" t="str">
        <f t="shared" si="12"/>
        <v/>
      </c>
      <c r="T47" s="28" t="str">
        <f t="shared" si="13"/>
        <v/>
      </c>
      <c r="U47" s="19"/>
    </row>
    <row r="48" spans="1:21" ht="16.05" customHeight="1">
      <c r="A48" s="18"/>
      <c r="B48" s="19"/>
      <c r="C48" s="19"/>
      <c r="D48" s="20"/>
      <c r="E48" s="20"/>
      <c r="F48" s="21" t="str">
        <f t="shared" si="7"/>
        <v/>
      </c>
      <c r="G48" s="21" t="str">
        <f>IF($B48="","",IFERROR(INDEX('DATA PHÍ &amp; SẢN PHẨM'!$M$13:$M$200,MATCH($B48,'DATA PHÍ &amp; SẢN PHẨM'!$L$13:$L$200,0)),0))</f>
        <v/>
      </c>
      <c r="H48" s="22"/>
      <c r="I48" s="20"/>
      <c r="J48" s="20"/>
      <c r="K48" s="23" t="str">
        <f>IF($B48="","",IFERROR(INDEX('DATA PHÍ &amp; SẢN PHẨM'!$F$13:$F$200,MATCH($B48,'DATA PHÍ &amp; SẢN PHẨM'!$L$13:$L$200,0)),0))</f>
        <v/>
      </c>
      <c r="L48" s="23" t="str">
        <f>IF($B48="","",IFERROR(INDEX('DATA PHÍ &amp; SẢN PHẨM'!$G$13:$G$200,MATCH($B48,'DATA PHÍ &amp; SẢN PHẨM'!$L$13:$L$200,0)),0))</f>
        <v/>
      </c>
      <c r="M48" s="24" t="str">
        <f t="shared" si="8"/>
        <v/>
      </c>
      <c r="N48" s="24" t="str">
        <f>IF($B48="","",$F48*'DATA PHÍ &amp; SẢN PHẨM'!$B$4)</f>
        <v/>
      </c>
      <c r="O48" s="24" t="str">
        <f>IF($B48="","",'DATA PHÍ &amp; SẢN PHẨM'!$B$5)</f>
        <v/>
      </c>
      <c r="P48" s="24" t="str">
        <f t="shared" si="9"/>
        <v/>
      </c>
      <c r="Q48" s="25" t="str">
        <f t="shared" si="10"/>
        <v/>
      </c>
      <c r="R48" s="26" t="str">
        <f t="shared" si="11"/>
        <v/>
      </c>
      <c r="S48" s="27" t="str">
        <f t="shared" si="12"/>
        <v/>
      </c>
      <c r="T48" s="28" t="str">
        <f t="shared" si="13"/>
        <v/>
      </c>
      <c r="U48" s="19"/>
    </row>
    <row r="49" spans="1:21" ht="16.05" customHeight="1">
      <c r="A49" s="18"/>
      <c r="B49" s="19"/>
      <c r="C49" s="19"/>
      <c r="D49" s="20"/>
      <c r="E49" s="20"/>
      <c r="F49" s="21" t="str">
        <f t="shared" si="7"/>
        <v/>
      </c>
      <c r="G49" s="21" t="str">
        <f>IF($B49="","",IFERROR(INDEX('DATA PHÍ &amp; SẢN PHẨM'!$M$13:$M$200,MATCH($B49,'DATA PHÍ &amp; SẢN PHẨM'!$L$13:$L$200,0)),0))</f>
        <v/>
      </c>
      <c r="H49" s="22"/>
      <c r="I49" s="20"/>
      <c r="J49" s="20"/>
      <c r="K49" s="23" t="str">
        <f>IF($B49="","",IFERROR(INDEX('DATA PHÍ &amp; SẢN PHẨM'!$F$13:$F$200,MATCH($B49,'DATA PHÍ &amp; SẢN PHẨM'!$L$13:$L$200,0)),0))</f>
        <v/>
      </c>
      <c r="L49" s="23" t="str">
        <f>IF($B49="","",IFERROR(INDEX('DATA PHÍ &amp; SẢN PHẨM'!$G$13:$G$200,MATCH($B49,'DATA PHÍ &amp; SẢN PHẨM'!$L$13:$L$200,0)),0))</f>
        <v/>
      </c>
      <c r="M49" s="24" t="str">
        <f t="shared" si="8"/>
        <v/>
      </c>
      <c r="N49" s="24" t="str">
        <f>IF($B49="","",$F49*'DATA PHÍ &amp; SẢN PHẨM'!$B$4)</f>
        <v/>
      </c>
      <c r="O49" s="24" t="str">
        <f>IF($B49="","",'DATA PHÍ &amp; SẢN PHẨM'!$B$5)</f>
        <v/>
      </c>
      <c r="P49" s="24" t="str">
        <f t="shared" si="9"/>
        <v/>
      </c>
      <c r="Q49" s="25" t="str">
        <f t="shared" si="10"/>
        <v/>
      </c>
      <c r="R49" s="26" t="str">
        <f t="shared" si="11"/>
        <v/>
      </c>
      <c r="S49" s="27" t="str">
        <f t="shared" si="12"/>
        <v/>
      </c>
      <c r="T49" s="28" t="str">
        <f t="shared" si="13"/>
        <v/>
      </c>
      <c r="U49" s="19"/>
    </row>
    <row r="50" spans="1:21" ht="16.05" customHeight="1">
      <c r="A50" s="18"/>
      <c r="B50" s="19"/>
      <c r="C50" s="19"/>
      <c r="D50" s="20"/>
      <c r="E50" s="20"/>
      <c r="F50" s="21" t="str">
        <f t="shared" si="7"/>
        <v/>
      </c>
      <c r="G50" s="21" t="str">
        <f>IF($B50="","",IFERROR(INDEX('DATA PHÍ &amp; SẢN PHẨM'!$M$13:$M$200,MATCH($B50,'DATA PHÍ &amp; SẢN PHẨM'!$L$13:$L$200,0)),0))</f>
        <v/>
      </c>
      <c r="H50" s="22"/>
      <c r="I50" s="20"/>
      <c r="J50" s="20"/>
      <c r="K50" s="23" t="str">
        <f>IF($B50="","",IFERROR(INDEX('DATA PHÍ &amp; SẢN PHẨM'!$F$13:$F$200,MATCH($B50,'DATA PHÍ &amp; SẢN PHẨM'!$L$13:$L$200,0)),0))</f>
        <v/>
      </c>
      <c r="L50" s="23" t="str">
        <f>IF($B50="","",IFERROR(INDEX('DATA PHÍ &amp; SẢN PHẨM'!$G$13:$G$200,MATCH($B50,'DATA PHÍ &amp; SẢN PHẨM'!$L$13:$L$200,0)),0))</f>
        <v/>
      </c>
      <c r="M50" s="24" t="str">
        <f t="shared" si="8"/>
        <v/>
      </c>
      <c r="N50" s="24" t="str">
        <f>IF($B50="","",$F50*'DATA PHÍ &amp; SẢN PHẨM'!$B$4)</f>
        <v/>
      </c>
      <c r="O50" s="24" t="str">
        <f>IF($B50="","",'DATA PHÍ &amp; SẢN PHẨM'!$B$5)</f>
        <v/>
      </c>
      <c r="P50" s="24" t="str">
        <f t="shared" si="9"/>
        <v/>
      </c>
      <c r="Q50" s="25" t="str">
        <f t="shared" si="10"/>
        <v/>
      </c>
      <c r="R50" s="26" t="str">
        <f t="shared" si="11"/>
        <v/>
      </c>
      <c r="S50" s="27" t="str">
        <f t="shared" si="12"/>
        <v/>
      </c>
      <c r="T50" s="28" t="str">
        <f t="shared" si="13"/>
        <v/>
      </c>
      <c r="U50" s="19"/>
    </row>
    <row r="51" spans="1:21" ht="16.05" customHeight="1">
      <c r="A51" s="18"/>
      <c r="B51" s="19"/>
      <c r="C51" s="19"/>
      <c r="D51" s="20"/>
      <c r="E51" s="20"/>
      <c r="F51" s="21" t="str">
        <f t="shared" si="7"/>
        <v/>
      </c>
      <c r="G51" s="21" t="str">
        <f>IF($B51="","",IFERROR(INDEX('DATA PHÍ &amp; SẢN PHẨM'!$M$13:$M$200,MATCH($B51,'DATA PHÍ &amp; SẢN PHẨM'!$L$13:$L$200,0)),0))</f>
        <v/>
      </c>
      <c r="H51" s="22"/>
      <c r="I51" s="20"/>
      <c r="J51" s="20"/>
      <c r="K51" s="23" t="str">
        <f>IF($B51="","",IFERROR(INDEX('DATA PHÍ &amp; SẢN PHẨM'!$F$13:$F$200,MATCH($B51,'DATA PHÍ &amp; SẢN PHẨM'!$L$13:$L$200,0)),0))</f>
        <v/>
      </c>
      <c r="L51" s="23" t="str">
        <f>IF($B51="","",IFERROR(INDEX('DATA PHÍ &amp; SẢN PHẨM'!$G$13:$G$200,MATCH($B51,'DATA PHÍ &amp; SẢN PHẨM'!$L$13:$L$200,0)),0))</f>
        <v/>
      </c>
      <c r="M51" s="24" t="str">
        <f t="shared" si="8"/>
        <v/>
      </c>
      <c r="N51" s="24" t="str">
        <f>IF($B51="","",$F51*'DATA PHÍ &amp; SẢN PHẨM'!$B$4)</f>
        <v/>
      </c>
      <c r="O51" s="24" t="str">
        <f>IF($B51="","",'DATA PHÍ &amp; SẢN PHẨM'!$B$5)</f>
        <v/>
      </c>
      <c r="P51" s="24" t="str">
        <f t="shared" si="9"/>
        <v/>
      </c>
      <c r="Q51" s="25" t="str">
        <f t="shared" si="10"/>
        <v/>
      </c>
      <c r="R51" s="26" t="str">
        <f t="shared" si="11"/>
        <v/>
      </c>
      <c r="S51" s="27" t="str">
        <f t="shared" si="12"/>
        <v/>
      </c>
      <c r="T51" s="28" t="str">
        <f t="shared" si="13"/>
        <v/>
      </c>
      <c r="U51" s="19"/>
    </row>
    <row r="52" spans="1:21" ht="16.05" customHeight="1">
      <c r="A52" s="18"/>
      <c r="B52" s="19"/>
      <c r="C52" s="19"/>
      <c r="D52" s="20"/>
      <c r="E52" s="20"/>
      <c r="F52" s="21" t="str">
        <f t="shared" si="7"/>
        <v/>
      </c>
      <c r="G52" s="21" t="str">
        <f>IF($B52="","",IFERROR(INDEX('DATA PHÍ &amp; SẢN PHẨM'!$M$13:$M$200,MATCH($B52,'DATA PHÍ &amp; SẢN PHẨM'!$L$13:$L$200,0)),0))</f>
        <v/>
      </c>
      <c r="H52" s="22"/>
      <c r="I52" s="20"/>
      <c r="J52" s="20"/>
      <c r="K52" s="23" t="str">
        <f>IF($B52="","",IFERROR(INDEX('DATA PHÍ &amp; SẢN PHẨM'!$F$13:$F$200,MATCH($B52,'DATA PHÍ &amp; SẢN PHẨM'!$L$13:$L$200,0)),0))</f>
        <v/>
      </c>
      <c r="L52" s="23" t="str">
        <f>IF($B52="","",IFERROR(INDEX('DATA PHÍ &amp; SẢN PHẨM'!$G$13:$G$200,MATCH($B52,'DATA PHÍ &amp; SẢN PHẨM'!$L$13:$L$200,0)),0))</f>
        <v/>
      </c>
      <c r="M52" s="24" t="str">
        <f t="shared" si="8"/>
        <v/>
      </c>
      <c r="N52" s="24" t="str">
        <f>IF($B52="","",$F52*'DATA PHÍ &amp; SẢN PHẨM'!$B$4)</f>
        <v/>
      </c>
      <c r="O52" s="24" t="str">
        <f>IF($B52="","",'DATA PHÍ &amp; SẢN PHẨM'!$B$5)</f>
        <v/>
      </c>
      <c r="P52" s="24" t="str">
        <f t="shared" si="9"/>
        <v/>
      </c>
      <c r="Q52" s="25" t="str">
        <f t="shared" si="10"/>
        <v/>
      </c>
      <c r="R52" s="26" t="str">
        <f t="shared" si="11"/>
        <v/>
      </c>
      <c r="S52" s="27" t="str">
        <f t="shared" si="12"/>
        <v/>
      </c>
      <c r="T52" s="28" t="str">
        <f t="shared" si="13"/>
        <v/>
      </c>
      <c r="U52" s="19"/>
    </row>
    <row r="53" spans="1:21" ht="16.05" customHeight="1">
      <c r="A53" s="18"/>
      <c r="B53" s="19"/>
      <c r="C53" s="19"/>
      <c r="D53" s="20"/>
      <c r="E53" s="20"/>
      <c r="F53" s="21" t="str">
        <f t="shared" si="7"/>
        <v/>
      </c>
      <c r="G53" s="21" t="str">
        <f>IF($B53="","",IFERROR(INDEX('DATA PHÍ &amp; SẢN PHẨM'!$M$13:$M$200,MATCH($B53,'DATA PHÍ &amp; SẢN PHẨM'!$L$13:$L$200,0)),0))</f>
        <v/>
      </c>
      <c r="H53" s="22"/>
      <c r="I53" s="20"/>
      <c r="J53" s="20"/>
      <c r="K53" s="23" t="str">
        <f>IF($B53="","",IFERROR(INDEX('DATA PHÍ &amp; SẢN PHẨM'!$F$13:$F$200,MATCH($B53,'DATA PHÍ &amp; SẢN PHẨM'!$L$13:$L$200,0)),0))</f>
        <v/>
      </c>
      <c r="L53" s="23" t="str">
        <f>IF($B53="","",IFERROR(INDEX('DATA PHÍ &amp; SẢN PHẨM'!$G$13:$G$200,MATCH($B53,'DATA PHÍ &amp; SẢN PHẨM'!$L$13:$L$200,0)),0))</f>
        <v/>
      </c>
      <c r="M53" s="24" t="str">
        <f t="shared" si="8"/>
        <v/>
      </c>
      <c r="N53" s="24" t="str">
        <f>IF($B53="","",$F53*'DATA PHÍ &amp; SẢN PHẨM'!$B$4)</f>
        <v/>
      </c>
      <c r="O53" s="24" t="str">
        <f>IF($B53="","",'DATA PHÍ &amp; SẢN PHẨM'!$B$5)</f>
        <v/>
      </c>
      <c r="P53" s="24" t="str">
        <f t="shared" si="9"/>
        <v/>
      </c>
      <c r="Q53" s="25" t="str">
        <f t="shared" si="10"/>
        <v/>
      </c>
      <c r="R53" s="26" t="str">
        <f t="shared" si="11"/>
        <v/>
      </c>
      <c r="S53" s="27" t="str">
        <f t="shared" si="12"/>
        <v/>
      </c>
      <c r="T53" s="28" t="str">
        <f t="shared" si="13"/>
        <v/>
      </c>
      <c r="U53" s="19"/>
    </row>
    <row r="54" spans="1:21" ht="16.05" customHeight="1">
      <c r="A54" s="18"/>
      <c r="B54" s="19"/>
      <c r="C54" s="19"/>
      <c r="D54" s="20"/>
      <c r="E54" s="20"/>
      <c r="F54" s="21" t="str">
        <f t="shared" si="7"/>
        <v/>
      </c>
      <c r="G54" s="21" t="str">
        <f>IF($B54="","",IFERROR(INDEX('DATA PHÍ &amp; SẢN PHẨM'!$M$13:$M$200,MATCH($B54,'DATA PHÍ &amp; SẢN PHẨM'!$L$13:$L$200,0)),0))</f>
        <v/>
      </c>
      <c r="H54" s="22"/>
      <c r="I54" s="20"/>
      <c r="J54" s="20"/>
      <c r="K54" s="23" t="str">
        <f>IF($B54="","",IFERROR(INDEX('DATA PHÍ &amp; SẢN PHẨM'!$F$13:$F$200,MATCH($B54,'DATA PHÍ &amp; SẢN PHẨM'!$L$13:$L$200,0)),0))</f>
        <v/>
      </c>
      <c r="L54" s="23" t="str">
        <f>IF($B54="","",IFERROR(INDEX('DATA PHÍ &amp; SẢN PHẨM'!$G$13:$G$200,MATCH($B54,'DATA PHÍ &amp; SẢN PHẨM'!$L$13:$L$200,0)),0))</f>
        <v/>
      </c>
      <c r="M54" s="24" t="str">
        <f t="shared" si="8"/>
        <v/>
      </c>
      <c r="N54" s="24" t="str">
        <f>IF($B54="","",$F54*'DATA PHÍ &amp; SẢN PHẨM'!$B$4)</f>
        <v/>
      </c>
      <c r="O54" s="24" t="str">
        <f>IF($B54="","",'DATA PHÍ &amp; SẢN PHẨM'!$B$5)</f>
        <v/>
      </c>
      <c r="P54" s="24" t="str">
        <f t="shared" si="9"/>
        <v/>
      </c>
      <c r="Q54" s="25" t="str">
        <f t="shared" si="10"/>
        <v/>
      </c>
      <c r="R54" s="26" t="str">
        <f t="shared" si="11"/>
        <v/>
      </c>
      <c r="S54" s="27" t="str">
        <f t="shared" si="12"/>
        <v/>
      </c>
      <c r="T54" s="28" t="str">
        <f t="shared" si="13"/>
        <v/>
      </c>
      <c r="U54" s="19"/>
    </row>
    <row r="55" spans="1:21" ht="16.05" customHeight="1">
      <c r="A55" s="18"/>
      <c r="B55" s="19"/>
      <c r="C55" s="19"/>
      <c r="D55" s="20"/>
      <c r="E55" s="20"/>
      <c r="F55" s="21" t="str">
        <f t="shared" si="7"/>
        <v/>
      </c>
      <c r="G55" s="21" t="str">
        <f>IF($B55="","",IFERROR(INDEX('DATA PHÍ &amp; SẢN PHẨM'!$M$13:$M$200,MATCH($B55,'DATA PHÍ &amp; SẢN PHẨM'!$L$13:$L$200,0)),0))</f>
        <v/>
      </c>
      <c r="H55" s="22"/>
      <c r="I55" s="20"/>
      <c r="J55" s="20"/>
      <c r="K55" s="23" t="str">
        <f>IF($B55="","",IFERROR(INDEX('DATA PHÍ &amp; SẢN PHẨM'!$F$13:$F$200,MATCH($B55,'DATA PHÍ &amp; SẢN PHẨM'!$L$13:$L$200,0)),0))</f>
        <v/>
      </c>
      <c r="L55" s="23" t="str">
        <f>IF($B55="","",IFERROR(INDEX('DATA PHÍ &amp; SẢN PHẨM'!$G$13:$G$200,MATCH($B55,'DATA PHÍ &amp; SẢN PHẨM'!$L$13:$L$200,0)),0))</f>
        <v/>
      </c>
      <c r="M55" s="24" t="str">
        <f t="shared" si="8"/>
        <v/>
      </c>
      <c r="N55" s="24" t="str">
        <f>IF($B55="","",$F55*'DATA PHÍ &amp; SẢN PHẨM'!$B$4)</f>
        <v/>
      </c>
      <c r="O55" s="24" t="str">
        <f>IF($B55="","",'DATA PHÍ &amp; SẢN PHẨM'!$B$5)</f>
        <v/>
      </c>
      <c r="P55" s="24" t="str">
        <f t="shared" si="9"/>
        <v/>
      </c>
      <c r="Q55" s="25" t="str">
        <f t="shared" si="10"/>
        <v/>
      </c>
      <c r="R55" s="26" t="str">
        <f t="shared" si="11"/>
        <v/>
      </c>
      <c r="S55" s="27" t="str">
        <f t="shared" si="12"/>
        <v/>
      </c>
      <c r="T55" s="28" t="str">
        <f t="shared" si="13"/>
        <v/>
      </c>
      <c r="U55" s="19"/>
    </row>
    <row r="56" spans="1:21" ht="16.05" customHeight="1">
      <c r="A56" s="18"/>
      <c r="B56" s="19"/>
      <c r="C56" s="19"/>
      <c r="D56" s="20"/>
      <c r="E56" s="20"/>
      <c r="F56" s="21" t="str">
        <f t="shared" si="7"/>
        <v/>
      </c>
      <c r="G56" s="21" t="str">
        <f>IF($B56="","",IFERROR(INDEX('DATA PHÍ &amp; SẢN PHẨM'!$M$13:$M$200,MATCH($B56,'DATA PHÍ &amp; SẢN PHẨM'!$L$13:$L$200,0)),0))</f>
        <v/>
      </c>
      <c r="H56" s="22"/>
      <c r="I56" s="20"/>
      <c r="J56" s="20"/>
      <c r="K56" s="23" t="str">
        <f>IF($B56="","",IFERROR(INDEX('DATA PHÍ &amp; SẢN PHẨM'!$F$13:$F$200,MATCH($B56,'DATA PHÍ &amp; SẢN PHẨM'!$L$13:$L$200,0)),0))</f>
        <v/>
      </c>
      <c r="L56" s="23" t="str">
        <f>IF($B56="","",IFERROR(INDEX('DATA PHÍ &amp; SẢN PHẨM'!$G$13:$G$200,MATCH($B56,'DATA PHÍ &amp; SẢN PHẨM'!$L$13:$L$200,0)),0))</f>
        <v/>
      </c>
      <c r="M56" s="24" t="str">
        <f t="shared" si="8"/>
        <v/>
      </c>
      <c r="N56" s="24" t="str">
        <f>IF($B56="","",$F56*'DATA PHÍ &amp; SẢN PHẨM'!$B$4)</f>
        <v/>
      </c>
      <c r="O56" s="24" t="str">
        <f>IF($B56="","",'DATA PHÍ &amp; SẢN PHẨM'!$B$5)</f>
        <v/>
      </c>
      <c r="P56" s="24" t="str">
        <f t="shared" si="9"/>
        <v/>
      </c>
      <c r="Q56" s="25" t="str">
        <f t="shared" si="10"/>
        <v/>
      </c>
      <c r="R56" s="26" t="str">
        <f t="shared" si="11"/>
        <v/>
      </c>
      <c r="S56" s="27" t="str">
        <f t="shared" si="12"/>
        <v/>
      </c>
      <c r="T56" s="28" t="str">
        <f t="shared" si="13"/>
        <v/>
      </c>
      <c r="U56" s="19"/>
    </row>
    <row r="57" spans="1:21" ht="16.05" customHeight="1">
      <c r="A57" s="18"/>
      <c r="B57" s="19"/>
      <c r="C57" s="19"/>
      <c r="D57" s="20"/>
      <c r="E57" s="20"/>
      <c r="F57" s="21" t="str">
        <f t="shared" si="7"/>
        <v/>
      </c>
      <c r="G57" s="21" t="str">
        <f>IF($B57="","",IFERROR(INDEX('DATA PHÍ &amp; SẢN PHẨM'!$M$13:$M$200,MATCH($B57,'DATA PHÍ &amp; SẢN PHẨM'!$L$13:$L$200,0)),0))</f>
        <v/>
      </c>
      <c r="H57" s="22"/>
      <c r="I57" s="20"/>
      <c r="J57" s="20"/>
      <c r="K57" s="23" t="str">
        <f>IF($B57="","",IFERROR(INDEX('DATA PHÍ &amp; SẢN PHẨM'!$F$13:$F$200,MATCH($B57,'DATA PHÍ &amp; SẢN PHẨM'!$L$13:$L$200,0)),0))</f>
        <v/>
      </c>
      <c r="L57" s="23" t="str">
        <f>IF($B57="","",IFERROR(INDEX('DATA PHÍ &amp; SẢN PHẨM'!$G$13:$G$200,MATCH($B57,'DATA PHÍ &amp; SẢN PHẨM'!$L$13:$L$200,0)),0))</f>
        <v/>
      </c>
      <c r="M57" s="24" t="str">
        <f t="shared" si="8"/>
        <v/>
      </c>
      <c r="N57" s="24" t="str">
        <f>IF($B57="","",$F57*'DATA PHÍ &amp; SẢN PHẨM'!$B$4)</f>
        <v/>
      </c>
      <c r="O57" s="24" t="str">
        <f>IF($B57="","",'DATA PHÍ &amp; SẢN PHẨM'!$B$5)</f>
        <v/>
      </c>
      <c r="P57" s="24" t="str">
        <f t="shared" si="9"/>
        <v/>
      </c>
      <c r="Q57" s="25" t="str">
        <f t="shared" si="10"/>
        <v/>
      </c>
      <c r="R57" s="26" t="str">
        <f t="shared" si="11"/>
        <v/>
      </c>
      <c r="S57" s="27" t="str">
        <f t="shared" si="12"/>
        <v/>
      </c>
      <c r="T57" s="28" t="str">
        <f t="shared" si="13"/>
        <v/>
      </c>
      <c r="U57" s="19"/>
    </row>
    <row r="58" spans="1:21" ht="16.05" customHeight="1">
      <c r="A58" s="18"/>
      <c r="B58" s="19"/>
      <c r="C58" s="19"/>
      <c r="D58" s="20"/>
      <c r="E58" s="20"/>
      <c r="F58" s="21" t="str">
        <f t="shared" si="7"/>
        <v/>
      </c>
      <c r="G58" s="21" t="str">
        <f>IF($B58="","",IFERROR(INDEX('DATA PHÍ &amp; SẢN PHẨM'!$M$13:$M$200,MATCH($B58,'DATA PHÍ &amp; SẢN PHẨM'!$L$13:$L$200,0)),0))</f>
        <v/>
      </c>
      <c r="H58" s="22"/>
      <c r="I58" s="20"/>
      <c r="J58" s="20"/>
      <c r="K58" s="23" t="str">
        <f>IF($B58="","",IFERROR(INDEX('DATA PHÍ &amp; SẢN PHẨM'!$F$13:$F$200,MATCH($B58,'DATA PHÍ &amp; SẢN PHẨM'!$L$13:$L$200,0)),0))</f>
        <v/>
      </c>
      <c r="L58" s="23" t="str">
        <f>IF($B58="","",IFERROR(INDEX('DATA PHÍ &amp; SẢN PHẨM'!$G$13:$G$200,MATCH($B58,'DATA PHÍ &amp; SẢN PHẨM'!$L$13:$L$200,0)),0))</f>
        <v/>
      </c>
      <c r="M58" s="24" t="str">
        <f t="shared" si="8"/>
        <v/>
      </c>
      <c r="N58" s="24" t="str">
        <f>IF($B58="","",$F58*'DATA PHÍ &amp; SẢN PHẨM'!$B$4)</f>
        <v/>
      </c>
      <c r="O58" s="24" t="str">
        <f>IF($B58="","",'DATA PHÍ &amp; SẢN PHẨM'!$B$5)</f>
        <v/>
      </c>
      <c r="P58" s="24" t="str">
        <f t="shared" si="9"/>
        <v/>
      </c>
      <c r="Q58" s="25" t="str">
        <f t="shared" si="10"/>
        <v/>
      </c>
      <c r="R58" s="26" t="str">
        <f t="shared" si="11"/>
        <v/>
      </c>
      <c r="S58" s="27" t="str">
        <f t="shared" si="12"/>
        <v/>
      </c>
      <c r="T58" s="28" t="str">
        <f t="shared" si="13"/>
        <v/>
      </c>
      <c r="U58" s="19"/>
    </row>
    <row r="59" spans="1:21" ht="16.05" customHeight="1">
      <c r="A59" s="18"/>
      <c r="B59" s="19"/>
      <c r="C59" s="19"/>
      <c r="D59" s="20"/>
      <c r="E59" s="20"/>
      <c r="F59" s="21" t="str">
        <f t="shared" si="7"/>
        <v/>
      </c>
      <c r="G59" s="21" t="str">
        <f>IF($B59="","",IFERROR(INDEX('DATA PHÍ &amp; SẢN PHẨM'!$M$13:$M$200,MATCH($B59,'DATA PHÍ &amp; SẢN PHẨM'!$L$13:$L$200,0)),0))</f>
        <v/>
      </c>
      <c r="H59" s="22"/>
      <c r="I59" s="20"/>
      <c r="J59" s="20"/>
      <c r="K59" s="23" t="str">
        <f>IF($B59="","",IFERROR(INDEX('DATA PHÍ &amp; SẢN PHẨM'!$F$13:$F$200,MATCH($B59,'DATA PHÍ &amp; SẢN PHẨM'!$L$13:$L$200,0)),0))</f>
        <v/>
      </c>
      <c r="L59" s="23" t="str">
        <f>IF($B59="","",IFERROR(INDEX('DATA PHÍ &amp; SẢN PHẨM'!$G$13:$G$200,MATCH($B59,'DATA PHÍ &amp; SẢN PHẨM'!$L$13:$L$200,0)),0))</f>
        <v/>
      </c>
      <c r="M59" s="24" t="str">
        <f t="shared" si="8"/>
        <v/>
      </c>
      <c r="N59" s="24" t="str">
        <f>IF($B59="","",$F59*'DATA PHÍ &amp; SẢN PHẨM'!$B$4)</f>
        <v/>
      </c>
      <c r="O59" s="24" t="str">
        <f>IF($B59="","",'DATA PHÍ &amp; SẢN PHẨM'!$B$5)</f>
        <v/>
      </c>
      <c r="P59" s="24" t="str">
        <f t="shared" si="9"/>
        <v/>
      </c>
      <c r="Q59" s="25" t="str">
        <f t="shared" si="10"/>
        <v/>
      </c>
      <c r="R59" s="26" t="str">
        <f t="shared" si="11"/>
        <v/>
      </c>
      <c r="S59" s="27" t="str">
        <f t="shared" si="12"/>
        <v/>
      </c>
      <c r="T59" s="28" t="str">
        <f t="shared" si="13"/>
        <v/>
      </c>
      <c r="U59" s="19"/>
    </row>
    <row r="60" spans="1:21" ht="16.05" customHeight="1">
      <c r="A60" s="18"/>
      <c r="B60" s="19"/>
      <c r="C60" s="19"/>
      <c r="D60" s="20"/>
      <c r="E60" s="20"/>
      <c r="F60" s="21" t="str">
        <f t="shared" si="7"/>
        <v/>
      </c>
      <c r="G60" s="21" t="str">
        <f>IF($B60="","",IFERROR(INDEX('DATA PHÍ &amp; SẢN PHẨM'!$M$13:$M$200,MATCH($B60,'DATA PHÍ &amp; SẢN PHẨM'!$L$13:$L$200,0)),0))</f>
        <v/>
      </c>
      <c r="H60" s="22"/>
      <c r="I60" s="20"/>
      <c r="J60" s="20"/>
      <c r="K60" s="23" t="str">
        <f>IF($B60="","",IFERROR(INDEX('DATA PHÍ &amp; SẢN PHẨM'!$F$13:$F$200,MATCH($B60,'DATA PHÍ &amp; SẢN PHẨM'!$L$13:$L$200,0)),0))</f>
        <v/>
      </c>
      <c r="L60" s="23" t="str">
        <f>IF($B60="","",IFERROR(INDEX('DATA PHÍ &amp; SẢN PHẨM'!$G$13:$G$200,MATCH($B60,'DATA PHÍ &amp; SẢN PHẨM'!$L$13:$L$200,0)),0))</f>
        <v/>
      </c>
      <c r="M60" s="24" t="str">
        <f t="shared" si="8"/>
        <v/>
      </c>
      <c r="N60" s="24" t="str">
        <f>IF($B60="","",$F60*'DATA PHÍ &amp; SẢN PHẨM'!$B$4)</f>
        <v/>
      </c>
      <c r="O60" s="24" t="str">
        <f>IF($B60="","",'DATA PHÍ &amp; SẢN PHẨM'!$B$5)</f>
        <v/>
      </c>
      <c r="P60" s="24" t="str">
        <f t="shared" si="9"/>
        <v/>
      </c>
      <c r="Q60" s="25" t="str">
        <f t="shared" si="10"/>
        <v/>
      </c>
      <c r="R60" s="26" t="str">
        <f t="shared" si="11"/>
        <v/>
      </c>
      <c r="S60" s="27" t="str">
        <f t="shared" si="12"/>
        <v/>
      </c>
      <c r="T60" s="28" t="str">
        <f t="shared" si="13"/>
        <v/>
      </c>
      <c r="U60" s="19"/>
    </row>
    <row r="61" spans="1:21" ht="16.05" customHeight="1">
      <c r="A61" s="18"/>
      <c r="B61" s="19"/>
      <c r="C61" s="19"/>
      <c r="D61" s="20"/>
      <c r="E61" s="20"/>
      <c r="F61" s="21" t="str">
        <f t="shared" si="7"/>
        <v/>
      </c>
      <c r="G61" s="21" t="str">
        <f>IF($B61="","",IFERROR(INDEX('DATA PHÍ &amp; SẢN PHẨM'!$M$13:$M$200,MATCH($B61,'DATA PHÍ &amp; SẢN PHẨM'!$L$13:$L$200,0)),0))</f>
        <v/>
      </c>
      <c r="H61" s="22"/>
      <c r="I61" s="20"/>
      <c r="J61" s="20"/>
      <c r="K61" s="23" t="str">
        <f>IF($B61="","",IFERROR(INDEX('DATA PHÍ &amp; SẢN PHẨM'!$F$13:$F$200,MATCH($B61,'DATA PHÍ &amp; SẢN PHẨM'!$L$13:$L$200,0)),0))</f>
        <v/>
      </c>
      <c r="L61" s="23" t="str">
        <f>IF($B61="","",IFERROR(INDEX('DATA PHÍ &amp; SẢN PHẨM'!$G$13:$G$200,MATCH($B61,'DATA PHÍ &amp; SẢN PHẨM'!$L$13:$L$200,0)),0))</f>
        <v/>
      </c>
      <c r="M61" s="24" t="str">
        <f t="shared" si="8"/>
        <v/>
      </c>
      <c r="N61" s="24" t="str">
        <f>IF($B61="","",$F61*'DATA PHÍ &amp; SẢN PHẨM'!$B$4)</f>
        <v/>
      </c>
      <c r="O61" s="24" t="str">
        <f>IF($B61="","",'DATA PHÍ &amp; SẢN PHẨM'!$B$5)</f>
        <v/>
      </c>
      <c r="P61" s="24" t="str">
        <f t="shared" si="9"/>
        <v/>
      </c>
      <c r="Q61" s="25" t="str">
        <f t="shared" si="10"/>
        <v/>
      </c>
      <c r="R61" s="26" t="str">
        <f t="shared" si="11"/>
        <v/>
      </c>
      <c r="S61" s="27" t="str">
        <f t="shared" si="12"/>
        <v/>
      </c>
      <c r="T61" s="28" t="str">
        <f t="shared" si="13"/>
        <v/>
      </c>
      <c r="U61" s="19"/>
    </row>
    <row r="62" spans="1:21" ht="16.05" customHeight="1">
      <c r="A62" s="18"/>
      <c r="B62" s="19"/>
      <c r="C62" s="19"/>
      <c r="D62" s="20"/>
      <c r="E62" s="20"/>
      <c r="F62" s="21" t="str">
        <f t="shared" si="7"/>
        <v/>
      </c>
      <c r="G62" s="21" t="str">
        <f>IF($B62="","",IFERROR(INDEX('DATA PHÍ &amp; SẢN PHẨM'!$M$13:$M$200,MATCH($B62,'DATA PHÍ &amp; SẢN PHẨM'!$L$13:$L$200,0)),0))</f>
        <v/>
      </c>
      <c r="H62" s="22"/>
      <c r="I62" s="20"/>
      <c r="J62" s="20"/>
      <c r="K62" s="23" t="str">
        <f>IF($B62="","",IFERROR(INDEX('DATA PHÍ &amp; SẢN PHẨM'!$F$13:$F$200,MATCH($B62,'DATA PHÍ &amp; SẢN PHẨM'!$L$13:$L$200,0)),0))</f>
        <v/>
      </c>
      <c r="L62" s="23" t="str">
        <f>IF($B62="","",IFERROR(INDEX('DATA PHÍ &amp; SẢN PHẨM'!$G$13:$G$200,MATCH($B62,'DATA PHÍ &amp; SẢN PHẨM'!$L$13:$L$200,0)),0))</f>
        <v/>
      </c>
      <c r="M62" s="24" t="str">
        <f t="shared" si="8"/>
        <v/>
      </c>
      <c r="N62" s="24" t="str">
        <f>IF($B62="","",$F62*'DATA PHÍ &amp; SẢN PHẨM'!$B$4)</f>
        <v/>
      </c>
      <c r="O62" s="24" t="str">
        <f>IF($B62="","",'DATA PHÍ &amp; SẢN PHẨM'!$B$5)</f>
        <v/>
      </c>
      <c r="P62" s="24" t="str">
        <f t="shared" si="9"/>
        <v/>
      </c>
      <c r="Q62" s="25" t="str">
        <f t="shared" si="10"/>
        <v/>
      </c>
      <c r="R62" s="26" t="str">
        <f t="shared" si="11"/>
        <v/>
      </c>
      <c r="S62" s="27" t="str">
        <f t="shared" si="12"/>
        <v/>
      </c>
      <c r="T62" s="28" t="str">
        <f t="shared" si="13"/>
        <v/>
      </c>
      <c r="U62" s="19"/>
    </row>
    <row r="63" spans="1:21" ht="16.05" customHeight="1">
      <c r="A63" s="18"/>
      <c r="B63" s="19"/>
      <c r="C63" s="19"/>
      <c r="D63" s="20"/>
      <c r="E63" s="20"/>
      <c r="F63" s="21" t="str">
        <f t="shared" si="7"/>
        <v/>
      </c>
      <c r="G63" s="21" t="str">
        <f>IF($B63="","",IFERROR(INDEX('DATA PHÍ &amp; SẢN PHẨM'!$M$13:$M$200,MATCH($B63,'DATA PHÍ &amp; SẢN PHẨM'!$L$13:$L$200,0)),0))</f>
        <v/>
      </c>
      <c r="H63" s="22"/>
      <c r="I63" s="20"/>
      <c r="J63" s="20"/>
      <c r="K63" s="23" t="str">
        <f>IF($B63="","",IFERROR(INDEX('DATA PHÍ &amp; SẢN PHẨM'!$F$13:$F$200,MATCH($B63,'DATA PHÍ &amp; SẢN PHẨM'!$L$13:$L$200,0)),0))</f>
        <v/>
      </c>
      <c r="L63" s="23" t="str">
        <f>IF($B63="","",IFERROR(INDEX('DATA PHÍ &amp; SẢN PHẨM'!$G$13:$G$200,MATCH($B63,'DATA PHÍ &amp; SẢN PHẨM'!$L$13:$L$200,0)),0))</f>
        <v/>
      </c>
      <c r="M63" s="24" t="str">
        <f t="shared" si="8"/>
        <v/>
      </c>
      <c r="N63" s="24" t="str">
        <f>IF($B63="","",$F63*'DATA PHÍ &amp; SẢN PHẨM'!$B$4)</f>
        <v/>
      </c>
      <c r="O63" s="24" t="str">
        <f>IF($B63="","",'DATA PHÍ &amp; SẢN PHẨM'!$B$5)</f>
        <v/>
      </c>
      <c r="P63" s="24" t="str">
        <f t="shared" si="9"/>
        <v/>
      </c>
      <c r="Q63" s="25" t="str">
        <f t="shared" si="10"/>
        <v/>
      </c>
      <c r="R63" s="26" t="str">
        <f t="shared" si="11"/>
        <v/>
      </c>
      <c r="S63" s="27" t="str">
        <f t="shared" si="12"/>
        <v/>
      </c>
      <c r="T63" s="28" t="str">
        <f t="shared" si="13"/>
        <v/>
      </c>
      <c r="U63" s="19"/>
    </row>
    <row r="64" spans="1:21" ht="16.05" customHeight="1">
      <c r="A64" s="18"/>
      <c r="B64" s="19"/>
      <c r="C64" s="19"/>
      <c r="D64" s="20"/>
      <c r="E64" s="20"/>
      <c r="F64" s="21" t="str">
        <f t="shared" si="7"/>
        <v/>
      </c>
      <c r="G64" s="21" t="str">
        <f>IF($B64="","",IFERROR(INDEX('DATA PHÍ &amp; SẢN PHẨM'!$M$13:$M$200,MATCH($B64,'DATA PHÍ &amp; SẢN PHẨM'!$L$13:$L$200,0)),0))</f>
        <v/>
      </c>
      <c r="H64" s="22"/>
      <c r="I64" s="20"/>
      <c r="J64" s="20"/>
      <c r="K64" s="23" t="str">
        <f>IF($B64="","",IFERROR(INDEX('DATA PHÍ &amp; SẢN PHẨM'!$F$13:$F$200,MATCH($B64,'DATA PHÍ &amp; SẢN PHẨM'!$L$13:$L$200,0)),0))</f>
        <v/>
      </c>
      <c r="L64" s="23" t="str">
        <f>IF($B64="","",IFERROR(INDEX('DATA PHÍ &amp; SẢN PHẨM'!$G$13:$G$200,MATCH($B64,'DATA PHÍ &amp; SẢN PHẨM'!$L$13:$L$200,0)),0))</f>
        <v/>
      </c>
      <c r="M64" s="24" t="str">
        <f t="shared" si="8"/>
        <v/>
      </c>
      <c r="N64" s="24" t="str">
        <f>IF($B64="","",$F64*'DATA PHÍ &amp; SẢN PHẨM'!$B$4)</f>
        <v/>
      </c>
      <c r="O64" s="24" t="str">
        <f>IF($B64="","",'DATA PHÍ &amp; SẢN PHẨM'!$B$5)</f>
        <v/>
      </c>
      <c r="P64" s="24" t="str">
        <f t="shared" si="9"/>
        <v/>
      </c>
      <c r="Q64" s="25" t="str">
        <f t="shared" si="10"/>
        <v/>
      </c>
      <c r="R64" s="26" t="str">
        <f t="shared" si="11"/>
        <v/>
      </c>
      <c r="S64" s="27" t="str">
        <f t="shared" si="12"/>
        <v/>
      </c>
      <c r="T64" s="28" t="str">
        <f t="shared" si="13"/>
        <v/>
      </c>
      <c r="U64" s="19"/>
    </row>
    <row r="65" spans="1:21" ht="16.05" customHeight="1">
      <c r="A65" s="18"/>
      <c r="B65" s="19"/>
      <c r="C65" s="19"/>
      <c r="D65" s="20"/>
      <c r="E65" s="20"/>
      <c r="F65" s="21" t="str">
        <f t="shared" si="7"/>
        <v/>
      </c>
      <c r="G65" s="21" t="str">
        <f>IF($B65="","",IFERROR(INDEX('DATA PHÍ &amp; SẢN PHẨM'!$M$13:$M$200,MATCH($B65,'DATA PHÍ &amp; SẢN PHẨM'!$L$13:$L$200,0)),0))</f>
        <v/>
      </c>
      <c r="H65" s="22"/>
      <c r="I65" s="20"/>
      <c r="J65" s="20"/>
      <c r="K65" s="23" t="str">
        <f>IF($B65="","",IFERROR(INDEX('DATA PHÍ &amp; SẢN PHẨM'!$F$13:$F$200,MATCH($B65,'DATA PHÍ &amp; SẢN PHẨM'!$L$13:$L$200,0)),0))</f>
        <v/>
      </c>
      <c r="L65" s="23" t="str">
        <f>IF($B65="","",IFERROR(INDEX('DATA PHÍ &amp; SẢN PHẨM'!$G$13:$G$200,MATCH($B65,'DATA PHÍ &amp; SẢN PHẨM'!$L$13:$L$200,0)),0))</f>
        <v/>
      </c>
      <c r="M65" s="24" t="str">
        <f t="shared" si="8"/>
        <v/>
      </c>
      <c r="N65" s="24" t="str">
        <f>IF($B65="","",$F65*'DATA PHÍ &amp; SẢN PHẨM'!$B$4)</f>
        <v/>
      </c>
      <c r="O65" s="24" t="str">
        <f>IF($B65="","",'DATA PHÍ &amp; SẢN PHẨM'!$B$5)</f>
        <v/>
      </c>
      <c r="P65" s="24" t="str">
        <f t="shared" si="9"/>
        <v/>
      </c>
      <c r="Q65" s="25" t="str">
        <f t="shared" si="10"/>
        <v/>
      </c>
      <c r="R65" s="26" t="str">
        <f t="shared" si="11"/>
        <v/>
      </c>
      <c r="S65" s="27" t="str">
        <f t="shared" si="12"/>
        <v/>
      </c>
      <c r="T65" s="28" t="str">
        <f t="shared" si="13"/>
        <v/>
      </c>
      <c r="U65" s="19"/>
    </row>
    <row r="66" spans="1:21" ht="16.05" customHeight="1">
      <c r="A66" s="18"/>
      <c r="B66" s="19"/>
      <c r="C66" s="19"/>
      <c r="D66" s="20"/>
      <c r="E66" s="20"/>
      <c r="F66" s="21" t="str">
        <f t="shared" si="7"/>
        <v/>
      </c>
      <c r="G66" s="21" t="str">
        <f>IF($B66="","",IFERROR(INDEX('DATA PHÍ &amp; SẢN PHẨM'!$M$13:$M$200,MATCH($B66,'DATA PHÍ &amp; SẢN PHẨM'!$L$13:$L$200,0)),0))</f>
        <v/>
      </c>
      <c r="H66" s="22"/>
      <c r="I66" s="20"/>
      <c r="J66" s="20"/>
      <c r="K66" s="23" t="str">
        <f>IF($B66="","",IFERROR(INDEX('DATA PHÍ &amp; SẢN PHẨM'!$F$13:$F$200,MATCH($B66,'DATA PHÍ &amp; SẢN PHẨM'!$L$13:$L$200,0)),0))</f>
        <v/>
      </c>
      <c r="L66" s="23" t="str">
        <f>IF($B66="","",IFERROR(INDEX('DATA PHÍ &amp; SẢN PHẨM'!$G$13:$G$200,MATCH($B66,'DATA PHÍ &amp; SẢN PHẨM'!$L$13:$L$200,0)),0))</f>
        <v/>
      </c>
      <c r="M66" s="24" t="str">
        <f t="shared" si="8"/>
        <v/>
      </c>
      <c r="N66" s="24" t="str">
        <f>IF($B66="","",$F66*'DATA PHÍ &amp; SẢN PHẨM'!$B$4)</f>
        <v/>
      </c>
      <c r="O66" s="24" t="str">
        <f>IF($B66="","",'DATA PHÍ &amp; SẢN PHẨM'!$B$5)</f>
        <v/>
      </c>
      <c r="P66" s="24" t="str">
        <f t="shared" si="9"/>
        <v/>
      </c>
      <c r="Q66" s="25" t="str">
        <f t="shared" si="10"/>
        <v/>
      </c>
      <c r="R66" s="26" t="str">
        <f t="shared" si="11"/>
        <v/>
      </c>
      <c r="S66" s="27" t="str">
        <f t="shared" si="12"/>
        <v/>
      </c>
      <c r="T66" s="28" t="str">
        <f t="shared" si="13"/>
        <v/>
      </c>
      <c r="U66" s="19"/>
    </row>
    <row r="67" spans="1:21" ht="16.05" customHeight="1">
      <c r="A67" s="18"/>
      <c r="B67" s="19"/>
      <c r="C67" s="19"/>
      <c r="D67" s="20"/>
      <c r="E67" s="20"/>
      <c r="F67" s="21" t="str">
        <f t="shared" si="7"/>
        <v/>
      </c>
      <c r="G67" s="21" t="str">
        <f>IF($B67="","",IFERROR(INDEX('DATA PHÍ &amp; SẢN PHẨM'!$M$13:$M$200,MATCH($B67,'DATA PHÍ &amp; SẢN PHẨM'!$L$13:$L$200,0)),0))</f>
        <v/>
      </c>
      <c r="H67" s="22"/>
      <c r="I67" s="20"/>
      <c r="J67" s="20"/>
      <c r="K67" s="23" t="str">
        <f>IF($B67="","",IFERROR(INDEX('DATA PHÍ &amp; SẢN PHẨM'!$F$13:$F$200,MATCH($B67,'DATA PHÍ &amp; SẢN PHẨM'!$L$13:$L$200,0)),0))</f>
        <v/>
      </c>
      <c r="L67" s="23" t="str">
        <f>IF($B67="","",IFERROR(INDEX('DATA PHÍ &amp; SẢN PHẨM'!$G$13:$G$200,MATCH($B67,'DATA PHÍ &amp; SẢN PHẨM'!$L$13:$L$200,0)),0))</f>
        <v/>
      </c>
      <c r="M67" s="24" t="str">
        <f t="shared" si="8"/>
        <v/>
      </c>
      <c r="N67" s="24" t="str">
        <f>IF($B67="","",$F67*'DATA PHÍ &amp; SẢN PHẨM'!$B$4)</f>
        <v/>
      </c>
      <c r="O67" s="24" t="str">
        <f>IF($B67="","",'DATA PHÍ &amp; SẢN PHẨM'!$B$5)</f>
        <v/>
      </c>
      <c r="P67" s="24" t="str">
        <f t="shared" si="9"/>
        <v/>
      </c>
      <c r="Q67" s="25" t="str">
        <f t="shared" si="10"/>
        <v/>
      </c>
      <c r="R67" s="26" t="str">
        <f t="shared" si="11"/>
        <v/>
      </c>
      <c r="S67" s="27" t="str">
        <f t="shared" si="12"/>
        <v/>
      </c>
      <c r="T67" s="28" t="str">
        <f t="shared" si="13"/>
        <v/>
      </c>
      <c r="U67" s="19"/>
    </row>
    <row r="68" spans="1:21" ht="16.05" customHeight="1">
      <c r="A68" s="18"/>
      <c r="B68" s="19"/>
      <c r="C68" s="19"/>
      <c r="D68" s="20"/>
      <c r="E68" s="20"/>
      <c r="F68" s="21" t="str">
        <f t="shared" si="7"/>
        <v/>
      </c>
      <c r="G68" s="21" t="str">
        <f>IF($B68="","",IFERROR(INDEX('DATA PHÍ &amp; SẢN PHẨM'!$M$13:$M$200,MATCH($B68,'DATA PHÍ &amp; SẢN PHẨM'!$L$13:$L$200,0)),0))</f>
        <v/>
      </c>
      <c r="H68" s="22"/>
      <c r="I68" s="20"/>
      <c r="J68" s="20"/>
      <c r="K68" s="23" t="str">
        <f>IF($B68="","",IFERROR(INDEX('DATA PHÍ &amp; SẢN PHẨM'!$F$13:$F$200,MATCH($B68,'DATA PHÍ &amp; SẢN PHẨM'!$L$13:$L$200,0)),0))</f>
        <v/>
      </c>
      <c r="L68" s="23" t="str">
        <f>IF($B68="","",IFERROR(INDEX('DATA PHÍ &amp; SẢN PHẨM'!$G$13:$G$200,MATCH($B68,'DATA PHÍ &amp; SẢN PHẨM'!$L$13:$L$200,0)),0))</f>
        <v/>
      </c>
      <c r="M68" s="24" t="str">
        <f t="shared" si="8"/>
        <v/>
      </c>
      <c r="N68" s="24" t="str">
        <f>IF($B68="","",$F68*'DATA PHÍ &amp; SẢN PHẨM'!$B$4)</f>
        <v/>
      </c>
      <c r="O68" s="24" t="str">
        <f>IF($B68="","",'DATA PHÍ &amp; SẢN PHẨM'!$B$5)</f>
        <v/>
      </c>
      <c r="P68" s="24" t="str">
        <f t="shared" si="9"/>
        <v/>
      </c>
      <c r="Q68" s="25" t="str">
        <f t="shared" si="10"/>
        <v/>
      </c>
      <c r="R68" s="26" t="str">
        <f t="shared" si="11"/>
        <v/>
      </c>
      <c r="S68" s="27" t="str">
        <f t="shared" si="12"/>
        <v/>
      </c>
      <c r="T68" s="28" t="str">
        <f t="shared" si="13"/>
        <v/>
      </c>
      <c r="U68" s="19"/>
    </row>
    <row r="69" spans="1:21" ht="16.05" customHeight="1">
      <c r="A69" s="18"/>
      <c r="B69" s="19"/>
      <c r="C69" s="19"/>
      <c r="D69" s="20"/>
      <c r="E69" s="20"/>
      <c r="F69" s="21" t="str">
        <f t="shared" si="7"/>
        <v/>
      </c>
      <c r="G69" s="21" t="str">
        <f>IF($B69="","",IFERROR(INDEX('DATA PHÍ &amp; SẢN PHẨM'!$M$13:$M$200,MATCH($B69,'DATA PHÍ &amp; SẢN PHẨM'!$L$13:$L$200,0)),0))</f>
        <v/>
      </c>
      <c r="H69" s="22"/>
      <c r="I69" s="20"/>
      <c r="J69" s="20"/>
      <c r="K69" s="23" t="str">
        <f>IF($B69="","",IFERROR(INDEX('DATA PHÍ &amp; SẢN PHẨM'!$F$13:$F$200,MATCH($B69,'DATA PHÍ &amp; SẢN PHẨM'!$L$13:$L$200,0)),0))</f>
        <v/>
      </c>
      <c r="L69" s="23" t="str">
        <f>IF($B69="","",IFERROR(INDEX('DATA PHÍ &amp; SẢN PHẨM'!$G$13:$G$200,MATCH($B69,'DATA PHÍ &amp; SẢN PHẨM'!$L$13:$L$200,0)),0))</f>
        <v/>
      </c>
      <c r="M69" s="24" t="str">
        <f t="shared" si="8"/>
        <v/>
      </c>
      <c r="N69" s="24" t="str">
        <f>IF($B69="","",$F69*'DATA PHÍ &amp; SẢN PHẨM'!$B$4)</f>
        <v/>
      </c>
      <c r="O69" s="24" t="str">
        <f>IF($B69="","",'DATA PHÍ &amp; SẢN PHẨM'!$B$5)</f>
        <v/>
      </c>
      <c r="P69" s="24" t="str">
        <f t="shared" si="9"/>
        <v/>
      </c>
      <c r="Q69" s="25" t="str">
        <f t="shared" si="10"/>
        <v/>
      </c>
      <c r="R69" s="26" t="str">
        <f t="shared" si="11"/>
        <v/>
      </c>
      <c r="S69" s="27" t="str">
        <f t="shared" si="12"/>
        <v/>
      </c>
      <c r="T69" s="28" t="str">
        <f t="shared" si="13"/>
        <v/>
      </c>
      <c r="U69" s="19"/>
    </row>
    <row r="70" spans="1:21" ht="16.05" customHeight="1">
      <c r="A70" s="18"/>
      <c r="B70" s="19"/>
      <c r="C70" s="19"/>
      <c r="D70" s="20"/>
      <c r="E70" s="20"/>
      <c r="F70" s="21" t="str">
        <f t="shared" si="7"/>
        <v/>
      </c>
      <c r="G70" s="21" t="str">
        <f>IF($B70="","",IFERROR(INDEX('DATA PHÍ &amp; SẢN PHẨM'!$M$13:$M$200,MATCH($B70,'DATA PHÍ &amp; SẢN PHẨM'!$L$13:$L$200,0)),0))</f>
        <v/>
      </c>
      <c r="H70" s="22"/>
      <c r="I70" s="20"/>
      <c r="J70" s="20"/>
      <c r="K70" s="23" t="str">
        <f>IF($B70="","",IFERROR(INDEX('DATA PHÍ &amp; SẢN PHẨM'!$F$13:$F$200,MATCH($B70,'DATA PHÍ &amp; SẢN PHẨM'!$L$13:$L$200,0)),0))</f>
        <v/>
      </c>
      <c r="L70" s="23" t="str">
        <f>IF($B70="","",IFERROR(INDEX('DATA PHÍ &amp; SẢN PHẨM'!$G$13:$G$200,MATCH($B70,'DATA PHÍ &amp; SẢN PHẨM'!$L$13:$L$200,0)),0))</f>
        <v/>
      </c>
      <c r="M70" s="24" t="str">
        <f t="shared" si="8"/>
        <v/>
      </c>
      <c r="N70" s="24" t="str">
        <f>IF($B70="","",$F70*'DATA PHÍ &amp; SẢN PHẨM'!$B$4)</f>
        <v/>
      </c>
      <c r="O70" s="24" t="str">
        <f>IF($B70="","",'DATA PHÍ &amp; SẢN PHẨM'!$B$5)</f>
        <v/>
      </c>
      <c r="P70" s="24" t="str">
        <f t="shared" si="9"/>
        <v/>
      </c>
      <c r="Q70" s="25" t="str">
        <f t="shared" si="10"/>
        <v/>
      </c>
      <c r="R70" s="26" t="str">
        <f t="shared" si="11"/>
        <v/>
      </c>
      <c r="S70" s="27" t="str">
        <f t="shared" si="12"/>
        <v/>
      </c>
      <c r="T70" s="28" t="str">
        <f t="shared" si="13"/>
        <v/>
      </c>
      <c r="U70" s="19"/>
    </row>
    <row r="71" spans="1:21" ht="16.05" customHeight="1">
      <c r="A71" s="18"/>
      <c r="B71" s="19"/>
      <c r="C71" s="19"/>
      <c r="D71" s="20"/>
      <c r="E71" s="20"/>
      <c r="F71" s="21" t="str">
        <f t="shared" si="7"/>
        <v/>
      </c>
      <c r="G71" s="21" t="str">
        <f>IF($B71="","",IFERROR(INDEX('DATA PHÍ &amp; SẢN PHẨM'!$M$13:$M$200,MATCH($B71,'DATA PHÍ &amp; SẢN PHẨM'!$L$13:$L$200,0)),0))</f>
        <v/>
      </c>
      <c r="H71" s="22"/>
      <c r="I71" s="20"/>
      <c r="J71" s="20"/>
      <c r="K71" s="23" t="str">
        <f>IF($B71="","",IFERROR(INDEX('DATA PHÍ &amp; SẢN PHẨM'!$F$13:$F$200,MATCH($B71,'DATA PHÍ &amp; SẢN PHẨM'!$L$13:$L$200,0)),0))</f>
        <v/>
      </c>
      <c r="L71" s="23" t="str">
        <f>IF($B71="","",IFERROR(INDEX('DATA PHÍ &amp; SẢN PHẨM'!$G$13:$G$200,MATCH($B71,'DATA PHÍ &amp; SẢN PHẨM'!$L$13:$L$200,0)),0))</f>
        <v/>
      </c>
      <c r="M71" s="24" t="str">
        <f t="shared" si="8"/>
        <v/>
      </c>
      <c r="N71" s="24" t="str">
        <f>IF($B71="","",$F71*'DATA PHÍ &amp; SẢN PHẨM'!$B$4)</f>
        <v/>
      </c>
      <c r="O71" s="24" t="str">
        <f>IF($B71="","",'DATA PHÍ &amp; SẢN PHẨM'!$B$5)</f>
        <v/>
      </c>
      <c r="P71" s="24" t="str">
        <f t="shared" si="9"/>
        <v/>
      </c>
      <c r="Q71" s="25" t="str">
        <f t="shared" si="10"/>
        <v/>
      </c>
      <c r="R71" s="26" t="str">
        <f t="shared" si="11"/>
        <v/>
      </c>
      <c r="S71" s="27" t="str">
        <f t="shared" si="12"/>
        <v/>
      </c>
      <c r="T71" s="28" t="str">
        <f t="shared" si="13"/>
        <v/>
      </c>
      <c r="U71" s="19"/>
    </row>
    <row r="72" spans="1:21" ht="16.05" customHeight="1">
      <c r="A72" s="18"/>
      <c r="B72" s="19"/>
      <c r="C72" s="19"/>
      <c r="D72" s="20"/>
      <c r="E72" s="20"/>
      <c r="F72" s="21" t="str">
        <f t="shared" si="7"/>
        <v/>
      </c>
      <c r="G72" s="21" t="str">
        <f>IF($B72="","",IFERROR(INDEX('DATA PHÍ &amp; SẢN PHẨM'!$M$13:$M$200,MATCH($B72,'DATA PHÍ &amp; SẢN PHẨM'!$L$13:$L$200,0)),0))</f>
        <v/>
      </c>
      <c r="H72" s="22"/>
      <c r="I72" s="20"/>
      <c r="J72" s="20"/>
      <c r="K72" s="23" t="str">
        <f>IF($B72="","",IFERROR(INDEX('DATA PHÍ &amp; SẢN PHẨM'!$F$13:$F$200,MATCH($B72,'DATA PHÍ &amp; SẢN PHẨM'!$L$13:$L$200,0)),0))</f>
        <v/>
      </c>
      <c r="L72" s="23" t="str">
        <f>IF($B72="","",IFERROR(INDEX('DATA PHÍ &amp; SẢN PHẨM'!$G$13:$G$200,MATCH($B72,'DATA PHÍ &amp; SẢN PHẨM'!$L$13:$L$200,0)),0))</f>
        <v/>
      </c>
      <c r="M72" s="24" t="str">
        <f t="shared" si="8"/>
        <v/>
      </c>
      <c r="N72" s="24" t="str">
        <f>IF($B72="","",$F72*'DATA PHÍ &amp; SẢN PHẨM'!$B$4)</f>
        <v/>
      </c>
      <c r="O72" s="24" t="str">
        <f>IF($B72="","",'DATA PHÍ &amp; SẢN PHẨM'!$B$5)</f>
        <v/>
      </c>
      <c r="P72" s="24" t="str">
        <f t="shared" si="9"/>
        <v/>
      </c>
      <c r="Q72" s="25" t="str">
        <f t="shared" si="10"/>
        <v/>
      </c>
      <c r="R72" s="26" t="str">
        <f t="shared" si="11"/>
        <v/>
      </c>
      <c r="S72" s="27" t="str">
        <f t="shared" si="12"/>
        <v/>
      </c>
      <c r="T72" s="28" t="str">
        <f t="shared" si="13"/>
        <v/>
      </c>
      <c r="U72" s="19"/>
    </row>
    <row r="73" spans="1:21" ht="16.05" customHeight="1">
      <c r="A73" s="18"/>
      <c r="B73" s="19"/>
      <c r="C73" s="19"/>
      <c r="D73" s="20"/>
      <c r="E73" s="20"/>
      <c r="F73" s="21" t="str">
        <f t="shared" si="7"/>
        <v/>
      </c>
      <c r="G73" s="21" t="str">
        <f>IF($B73="","",IFERROR(INDEX('DATA PHÍ &amp; SẢN PHẨM'!$M$13:$M$200,MATCH($B73,'DATA PHÍ &amp; SẢN PHẨM'!$L$13:$L$200,0)),0))</f>
        <v/>
      </c>
      <c r="H73" s="22"/>
      <c r="I73" s="20"/>
      <c r="J73" s="20"/>
      <c r="K73" s="23" t="str">
        <f>IF($B73="","",IFERROR(INDEX('DATA PHÍ &amp; SẢN PHẨM'!$F$13:$F$200,MATCH($B73,'DATA PHÍ &amp; SẢN PHẨM'!$L$13:$L$200,0)),0))</f>
        <v/>
      </c>
      <c r="L73" s="23" t="str">
        <f>IF($B73="","",IFERROR(INDEX('DATA PHÍ &amp; SẢN PHẨM'!$G$13:$G$200,MATCH($B73,'DATA PHÍ &amp; SẢN PHẨM'!$L$13:$L$200,0)),0))</f>
        <v/>
      </c>
      <c r="M73" s="24" t="str">
        <f t="shared" si="8"/>
        <v/>
      </c>
      <c r="N73" s="24" t="str">
        <f>IF($B73="","",$F73*'DATA PHÍ &amp; SẢN PHẨM'!$B$4)</f>
        <v/>
      </c>
      <c r="O73" s="24" t="str">
        <f>IF($B73="","",'DATA PHÍ &amp; SẢN PHẨM'!$B$5)</f>
        <v/>
      </c>
      <c r="P73" s="24" t="str">
        <f t="shared" si="9"/>
        <v/>
      </c>
      <c r="Q73" s="25" t="str">
        <f t="shared" si="10"/>
        <v/>
      </c>
      <c r="R73" s="26" t="str">
        <f t="shared" si="11"/>
        <v/>
      </c>
      <c r="S73" s="27" t="str">
        <f t="shared" si="12"/>
        <v/>
      </c>
      <c r="T73" s="28" t="str">
        <f t="shared" si="13"/>
        <v/>
      </c>
      <c r="U73" s="19"/>
    </row>
    <row r="74" spans="1:21" ht="16.05" customHeight="1">
      <c r="A74" s="18"/>
      <c r="B74" s="19"/>
      <c r="C74" s="19"/>
      <c r="D74" s="20"/>
      <c r="E74" s="20"/>
      <c r="F74" s="21" t="str">
        <f t="shared" si="7"/>
        <v/>
      </c>
      <c r="G74" s="21" t="str">
        <f>IF($B74="","",IFERROR(INDEX('DATA PHÍ &amp; SẢN PHẨM'!$M$13:$M$200,MATCH($B74,'DATA PHÍ &amp; SẢN PHẨM'!$L$13:$L$200,0)),0))</f>
        <v/>
      </c>
      <c r="H74" s="22"/>
      <c r="I74" s="20"/>
      <c r="J74" s="20"/>
      <c r="K74" s="23" t="str">
        <f>IF($B74="","",IFERROR(INDEX('DATA PHÍ &amp; SẢN PHẨM'!$F$13:$F$200,MATCH($B74,'DATA PHÍ &amp; SẢN PHẨM'!$L$13:$L$200,0)),0))</f>
        <v/>
      </c>
      <c r="L74" s="23" t="str">
        <f>IF($B74="","",IFERROR(INDEX('DATA PHÍ &amp; SẢN PHẨM'!$G$13:$G$200,MATCH($B74,'DATA PHÍ &amp; SẢN PHẨM'!$L$13:$L$200,0)),0))</f>
        <v/>
      </c>
      <c r="M74" s="24" t="str">
        <f t="shared" si="8"/>
        <v/>
      </c>
      <c r="N74" s="24" t="str">
        <f>IF($B74="","",$F74*'DATA PHÍ &amp; SẢN PHẨM'!$B$4)</f>
        <v/>
      </c>
      <c r="O74" s="24" t="str">
        <f>IF($B74="","",'DATA PHÍ &amp; SẢN PHẨM'!$B$5)</f>
        <v/>
      </c>
      <c r="P74" s="24" t="str">
        <f t="shared" si="9"/>
        <v/>
      </c>
      <c r="Q74" s="25" t="str">
        <f t="shared" si="10"/>
        <v/>
      </c>
      <c r="R74" s="26" t="str">
        <f t="shared" si="11"/>
        <v/>
      </c>
      <c r="S74" s="27" t="str">
        <f t="shared" si="12"/>
        <v/>
      </c>
      <c r="T74" s="28" t="str">
        <f t="shared" si="13"/>
        <v/>
      </c>
      <c r="U74" s="19"/>
    </row>
    <row r="75" spans="1:21" ht="16.05" customHeight="1">
      <c r="A75" s="18"/>
      <c r="B75" s="19"/>
      <c r="C75" s="19"/>
      <c r="D75" s="20"/>
      <c r="E75" s="20"/>
      <c r="F75" s="21" t="str">
        <f t="shared" ref="F75:F106" si="14">IF($B75="","",$D75-$E75)</f>
        <v/>
      </c>
      <c r="G75" s="21" t="str">
        <f>IF($B75="","",IFERROR(INDEX('DATA PHÍ &amp; SẢN PHẨM'!$M$13:$M$200,MATCH($B75,'DATA PHÍ &amp; SẢN PHẨM'!$L$13:$L$200,0)),0))</f>
        <v/>
      </c>
      <c r="H75" s="22"/>
      <c r="I75" s="20"/>
      <c r="J75" s="20"/>
      <c r="K75" s="23" t="str">
        <f>IF($B75="","",IFERROR(INDEX('DATA PHÍ &amp; SẢN PHẨM'!$F$13:$F$200,MATCH($B75,'DATA PHÍ &amp; SẢN PHẨM'!$L$13:$L$200,0)),0))</f>
        <v/>
      </c>
      <c r="L75" s="23" t="str">
        <f>IF($B75="","",IFERROR(INDEX('DATA PHÍ &amp; SẢN PHẨM'!$G$13:$G$200,MATCH($B75,'DATA PHÍ &amp; SẢN PHẨM'!$L$13:$L$200,0)),0))</f>
        <v/>
      </c>
      <c r="M75" s="24" t="str">
        <f t="shared" ref="M75:M106" si="15">IF($B75="","",$F75*IF($C75="Mall",$L75,$K75))</f>
        <v/>
      </c>
      <c r="N75" s="24" t="str">
        <f>IF($B75="","",$F75*'DATA PHÍ &amp; SẢN PHẨM'!$B$4)</f>
        <v/>
      </c>
      <c r="O75" s="24" t="str">
        <f>IF($B75="","",'DATA PHÍ &amp; SẢN PHẨM'!$B$5)</f>
        <v/>
      </c>
      <c r="P75" s="24" t="str">
        <f t="shared" ref="P75:P106" si="16">IF($B75="","",SUM(M75:O75))</f>
        <v/>
      </c>
      <c r="Q75" s="25" t="str">
        <f t="shared" ref="Q75:Q106" si="17">IF($B75="","",SUM(G75,I75,J75,P75)+($F75*$H75))</f>
        <v/>
      </c>
      <c r="R75" s="26" t="str">
        <f t="shared" ref="R75:R106" si="18">IF($B75="","",$F75-$Q75)</f>
        <v/>
      </c>
      <c r="S75" s="27" t="str">
        <f t="shared" ref="S75:S106" si="19">IF($B75="","",IFERROR($R75/$F75,0))</f>
        <v/>
      </c>
      <c r="T75" s="28" t="str">
        <f t="shared" ref="T75:T106" si="20">IF($B75="","",IF($R75&lt;0,"LỖ",IF($S75&lt;0.05,"RẤT NGUY HIỂM",IF($S75&lt;0.1,"LÃI THẤP",IF($S75&lt;0.2,"ỔN","TỐT")))))</f>
        <v/>
      </c>
      <c r="U75" s="19"/>
    </row>
    <row r="76" spans="1:21" ht="16.05" customHeight="1">
      <c r="A76" s="18"/>
      <c r="B76" s="19"/>
      <c r="C76" s="19"/>
      <c r="D76" s="20"/>
      <c r="E76" s="20"/>
      <c r="F76" s="21" t="str">
        <f t="shared" si="14"/>
        <v/>
      </c>
      <c r="G76" s="21" t="str">
        <f>IF($B76="","",IFERROR(INDEX('DATA PHÍ &amp; SẢN PHẨM'!$M$13:$M$200,MATCH($B76,'DATA PHÍ &amp; SẢN PHẨM'!$L$13:$L$200,0)),0))</f>
        <v/>
      </c>
      <c r="H76" s="22"/>
      <c r="I76" s="20"/>
      <c r="J76" s="20"/>
      <c r="K76" s="23" t="str">
        <f>IF($B76="","",IFERROR(INDEX('DATA PHÍ &amp; SẢN PHẨM'!$F$13:$F$200,MATCH($B76,'DATA PHÍ &amp; SẢN PHẨM'!$L$13:$L$200,0)),0))</f>
        <v/>
      </c>
      <c r="L76" s="23" t="str">
        <f>IF($B76="","",IFERROR(INDEX('DATA PHÍ &amp; SẢN PHẨM'!$G$13:$G$200,MATCH($B76,'DATA PHÍ &amp; SẢN PHẨM'!$L$13:$L$200,0)),0))</f>
        <v/>
      </c>
      <c r="M76" s="24" t="str">
        <f t="shared" si="15"/>
        <v/>
      </c>
      <c r="N76" s="24" t="str">
        <f>IF($B76="","",$F76*'DATA PHÍ &amp; SẢN PHẨM'!$B$4)</f>
        <v/>
      </c>
      <c r="O76" s="24" t="str">
        <f>IF($B76="","",'DATA PHÍ &amp; SẢN PHẨM'!$B$5)</f>
        <v/>
      </c>
      <c r="P76" s="24" t="str">
        <f t="shared" si="16"/>
        <v/>
      </c>
      <c r="Q76" s="25" t="str">
        <f t="shared" si="17"/>
        <v/>
      </c>
      <c r="R76" s="26" t="str">
        <f t="shared" si="18"/>
        <v/>
      </c>
      <c r="S76" s="27" t="str">
        <f t="shared" si="19"/>
        <v/>
      </c>
      <c r="T76" s="28" t="str">
        <f t="shared" si="20"/>
        <v/>
      </c>
      <c r="U76" s="19"/>
    </row>
    <row r="77" spans="1:21" ht="16.05" customHeight="1">
      <c r="A77" s="18"/>
      <c r="B77" s="19"/>
      <c r="C77" s="19"/>
      <c r="D77" s="20"/>
      <c r="E77" s="20"/>
      <c r="F77" s="21" t="str">
        <f t="shared" si="14"/>
        <v/>
      </c>
      <c r="G77" s="21" t="str">
        <f>IF($B77="","",IFERROR(INDEX('DATA PHÍ &amp; SẢN PHẨM'!$M$13:$M$200,MATCH($B77,'DATA PHÍ &amp; SẢN PHẨM'!$L$13:$L$200,0)),0))</f>
        <v/>
      </c>
      <c r="H77" s="22"/>
      <c r="I77" s="20"/>
      <c r="J77" s="20"/>
      <c r="K77" s="23" t="str">
        <f>IF($B77="","",IFERROR(INDEX('DATA PHÍ &amp; SẢN PHẨM'!$F$13:$F$200,MATCH($B77,'DATA PHÍ &amp; SẢN PHẨM'!$L$13:$L$200,0)),0))</f>
        <v/>
      </c>
      <c r="L77" s="23" t="str">
        <f>IF($B77="","",IFERROR(INDEX('DATA PHÍ &amp; SẢN PHẨM'!$G$13:$G$200,MATCH($B77,'DATA PHÍ &amp; SẢN PHẨM'!$L$13:$L$200,0)),0))</f>
        <v/>
      </c>
      <c r="M77" s="24" t="str">
        <f t="shared" si="15"/>
        <v/>
      </c>
      <c r="N77" s="24" t="str">
        <f>IF($B77="","",$F77*'DATA PHÍ &amp; SẢN PHẨM'!$B$4)</f>
        <v/>
      </c>
      <c r="O77" s="24" t="str">
        <f>IF($B77="","",'DATA PHÍ &amp; SẢN PHẨM'!$B$5)</f>
        <v/>
      </c>
      <c r="P77" s="24" t="str">
        <f t="shared" si="16"/>
        <v/>
      </c>
      <c r="Q77" s="25" t="str">
        <f t="shared" si="17"/>
        <v/>
      </c>
      <c r="R77" s="26" t="str">
        <f t="shared" si="18"/>
        <v/>
      </c>
      <c r="S77" s="27" t="str">
        <f t="shared" si="19"/>
        <v/>
      </c>
      <c r="T77" s="28" t="str">
        <f t="shared" si="20"/>
        <v/>
      </c>
      <c r="U77" s="19"/>
    </row>
    <row r="78" spans="1:21" ht="16.05" customHeight="1">
      <c r="A78" s="18"/>
      <c r="B78" s="19"/>
      <c r="C78" s="19"/>
      <c r="D78" s="20"/>
      <c r="E78" s="20"/>
      <c r="F78" s="21" t="str">
        <f t="shared" si="14"/>
        <v/>
      </c>
      <c r="G78" s="21" t="str">
        <f>IF($B78="","",IFERROR(INDEX('DATA PHÍ &amp; SẢN PHẨM'!$M$13:$M$200,MATCH($B78,'DATA PHÍ &amp; SẢN PHẨM'!$L$13:$L$200,0)),0))</f>
        <v/>
      </c>
      <c r="H78" s="22"/>
      <c r="I78" s="20"/>
      <c r="J78" s="20"/>
      <c r="K78" s="23" t="str">
        <f>IF($B78="","",IFERROR(INDEX('DATA PHÍ &amp; SẢN PHẨM'!$F$13:$F$200,MATCH($B78,'DATA PHÍ &amp; SẢN PHẨM'!$L$13:$L$200,0)),0))</f>
        <v/>
      </c>
      <c r="L78" s="23" t="str">
        <f>IF($B78="","",IFERROR(INDEX('DATA PHÍ &amp; SẢN PHẨM'!$G$13:$G$200,MATCH($B78,'DATA PHÍ &amp; SẢN PHẨM'!$L$13:$L$200,0)),0))</f>
        <v/>
      </c>
      <c r="M78" s="24" t="str">
        <f t="shared" si="15"/>
        <v/>
      </c>
      <c r="N78" s="24" t="str">
        <f>IF($B78="","",$F78*'DATA PHÍ &amp; SẢN PHẨM'!$B$4)</f>
        <v/>
      </c>
      <c r="O78" s="24" t="str">
        <f>IF($B78="","",'DATA PHÍ &amp; SẢN PHẨM'!$B$5)</f>
        <v/>
      </c>
      <c r="P78" s="24" t="str">
        <f t="shared" si="16"/>
        <v/>
      </c>
      <c r="Q78" s="25" t="str">
        <f t="shared" si="17"/>
        <v/>
      </c>
      <c r="R78" s="26" t="str">
        <f t="shared" si="18"/>
        <v/>
      </c>
      <c r="S78" s="27" t="str">
        <f t="shared" si="19"/>
        <v/>
      </c>
      <c r="T78" s="28" t="str">
        <f t="shared" si="20"/>
        <v/>
      </c>
      <c r="U78" s="19"/>
    </row>
    <row r="79" spans="1:21" ht="16.05" customHeight="1">
      <c r="A79" s="18"/>
      <c r="B79" s="19"/>
      <c r="C79" s="19"/>
      <c r="D79" s="20"/>
      <c r="E79" s="20"/>
      <c r="F79" s="21" t="str">
        <f t="shared" si="14"/>
        <v/>
      </c>
      <c r="G79" s="21" t="str">
        <f>IF($B79="","",IFERROR(INDEX('DATA PHÍ &amp; SẢN PHẨM'!$M$13:$M$200,MATCH($B79,'DATA PHÍ &amp; SẢN PHẨM'!$L$13:$L$200,0)),0))</f>
        <v/>
      </c>
      <c r="H79" s="22"/>
      <c r="I79" s="20"/>
      <c r="J79" s="20"/>
      <c r="K79" s="23" t="str">
        <f>IF($B79="","",IFERROR(INDEX('DATA PHÍ &amp; SẢN PHẨM'!$F$13:$F$200,MATCH($B79,'DATA PHÍ &amp; SẢN PHẨM'!$L$13:$L$200,0)),0))</f>
        <v/>
      </c>
      <c r="L79" s="23" t="str">
        <f>IF($B79="","",IFERROR(INDEX('DATA PHÍ &amp; SẢN PHẨM'!$G$13:$G$200,MATCH($B79,'DATA PHÍ &amp; SẢN PHẨM'!$L$13:$L$200,0)),0))</f>
        <v/>
      </c>
      <c r="M79" s="24" t="str">
        <f t="shared" si="15"/>
        <v/>
      </c>
      <c r="N79" s="24" t="str">
        <f>IF($B79="","",$F79*'DATA PHÍ &amp; SẢN PHẨM'!$B$4)</f>
        <v/>
      </c>
      <c r="O79" s="24" t="str">
        <f>IF($B79="","",'DATA PHÍ &amp; SẢN PHẨM'!$B$5)</f>
        <v/>
      </c>
      <c r="P79" s="24" t="str">
        <f t="shared" si="16"/>
        <v/>
      </c>
      <c r="Q79" s="25" t="str">
        <f t="shared" si="17"/>
        <v/>
      </c>
      <c r="R79" s="26" t="str">
        <f t="shared" si="18"/>
        <v/>
      </c>
      <c r="S79" s="27" t="str">
        <f t="shared" si="19"/>
        <v/>
      </c>
      <c r="T79" s="28" t="str">
        <f t="shared" si="20"/>
        <v/>
      </c>
      <c r="U79" s="19"/>
    </row>
    <row r="80" spans="1:21" ht="16.05" customHeight="1">
      <c r="A80" s="18"/>
      <c r="B80" s="19"/>
      <c r="C80" s="19"/>
      <c r="D80" s="20"/>
      <c r="E80" s="20"/>
      <c r="F80" s="21" t="str">
        <f t="shared" si="14"/>
        <v/>
      </c>
      <c r="G80" s="21" t="str">
        <f>IF($B80="","",IFERROR(INDEX('DATA PHÍ &amp; SẢN PHẨM'!$M$13:$M$200,MATCH($B80,'DATA PHÍ &amp; SẢN PHẨM'!$L$13:$L$200,0)),0))</f>
        <v/>
      </c>
      <c r="H80" s="22"/>
      <c r="I80" s="20"/>
      <c r="J80" s="20"/>
      <c r="K80" s="23" t="str">
        <f>IF($B80="","",IFERROR(INDEX('DATA PHÍ &amp; SẢN PHẨM'!$F$13:$F$200,MATCH($B80,'DATA PHÍ &amp; SẢN PHẨM'!$L$13:$L$200,0)),0))</f>
        <v/>
      </c>
      <c r="L80" s="23" t="str">
        <f>IF($B80="","",IFERROR(INDEX('DATA PHÍ &amp; SẢN PHẨM'!$G$13:$G$200,MATCH($B80,'DATA PHÍ &amp; SẢN PHẨM'!$L$13:$L$200,0)),0))</f>
        <v/>
      </c>
      <c r="M80" s="24" t="str">
        <f t="shared" si="15"/>
        <v/>
      </c>
      <c r="N80" s="24" t="str">
        <f>IF($B80="","",$F80*'DATA PHÍ &amp; SẢN PHẨM'!$B$4)</f>
        <v/>
      </c>
      <c r="O80" s="24" t="str">
        <f>IF($B80="","",'DATA PHÍ &amp; SẢN PHẨM'!$B$5)</f>
        <v/>
      </c>
      <c r="P80" s="24" t="str">
        <f t="shared" si="16"/>
        <v/>
      </c>
      <c r="Q80" s="25" t="str">
        <f t="shared" si="17"/>
        <v/>
      </c>
      <c r="R80" s="26" t="str">
        <f t="shared" si="18"/>
        <v/>
      </c>
      <c r="S80" s="27" t="str">
        <f t="shared" si="19"/>
        <v/>
      </c>
      <c r="T80" s="28" t="str">
        <f t="shared" si="20"/>
        <v/>
      </c>
      <c r="U80" s="19"/>
    </row>
    <row r="81" spans="1:21" ht="16.05" customHeight="1">
      <c r="A81" s="18"/>
      <c r="B81" s="19"/>
      <c r="C81" s="19"/>
      <c r="D81" s="20"/>
      <c r="E81" s="20"/>
      <c r="F81" s="21" t="str">
        <f t="shared" si="14"/>
        <v/>
      </c>
      <c r="G81" s="21" t="str">
        <f>IF($B81="","",IFERROR(INDEX('DATA PHÍ &amp; SẢN PHẨM'!$M$13:$M$200,MATCH($B81,'DATA PHÍ &amp; SẢN PHẨM'!$L$13:$L$200,0)),0))</f>
        <v/>
      </c>
      <c r="H81" s="22"/>
      <c r="I81" s="20"/>
      <c r="J81" s="20"/>
      <c r="K81" s="23" t="str">
        <f>IF($B81="","",IFERROR(INDEX('DATA PHÍ &amp; SẢN PHẨM'!$F$13:$F$200,MATCH($B81,'DATA PHÍ &amp; SẢN PHẨM'!$L$13:$L$200,0)),0))</f>
        <v/>
      </c>
      <c r="L81" s="23" t="str">
        <f>IF($B81="","",IFERROR(INDEX('DATA PHÍ &amp; SẢN PHẨM'!$G$13:$G$200,MATCH($B81,'DATA PHÍ &amp; SẢN PHẨM'!$L$13:$L$200,0)),0))</f>
        <v/>
      </c>
      <c r="M81" s="24" t="str">
        <f t="shared" si="15"/>
        <v/>
      </c>
      <c r="N81" s="24" t="str">
        <f>IF($B81="","",$F81*'DATA PHÍ &amp; SẢN PHẨM'!$B$4)</f>
        <v/>
      </c>
      <c r="O81" s="24" t="str">
        <f>IF($B81="","",'DATA PHÍ &amp; SẢN PHẨM'!$B$5)</f>
        <v/>
      </c>
      <c r="P81" s="24" t="str">
        <f t="shared" si="16"/>
        <v/>
      </c>
      <c r="Q81" s="25" t="str">
        <f t="shared" si="17"/>
        <v/>
      </c>
      <c r="R81" s="26" t="str">
        <f t="shared" si="18"/>
        <v/>
      </c>
      <c r="S81" s="27" t="str">
        <f t="shared" si="19"/>
        <v/>
      </c>
      <c r="T81" s="28" t="str">
        <f t="shared" si="20"/>
        <v/>
      </c>
      <c r="U81" s="19"/>
    </row>
    <row r="82" spans="1:21" ht="16.05" customHeight="1">
      <c r="A82" s="18"/>
      <c r="B82" s="19"/>
      <c r="C82" s="19"/>
      <c r="D82" s="20"/>
      <c r="E82" s="20"/>
      <c r="F82" s="21" t="str">
        <f t="shared" si="14"/>
        <v/>
      </c>
      <c r="G82" s="21" t="str">
        <f>IF($B82="","",IFERROR(INDEX('DATA PHÍ &amp; SẢN PHẨM'!$M$13:$M$200,MATCH($B82,'DATA PHÍ &amp; SẢN PHẨM'!$L$13:$L$200,0)),0))</f>
        <v/>
      </c>
      <c r="H82" s="22"/>
      <c r="I82" s="20"/>
      <c r="J82" s="20"/>
      <c r="K82" s="23" t="str">
        <f>IF($B82="","",IFERROR(INDEX('DATA PHÍ &amp; SẢN PHẨM'!$F$13:$F$200,MATCH($B82,'DATA PHÍ &amp; SẢN PHẨM'!$L$13:$L$200,0)),0))</f>
        <v/>
      </c>
      <c r="L82" s="23" t="str">
        <f>IF($B82="","",IFERROR(INDEX('DATA PHÍ &amp; SẢN PHẨM'!$G$13:$G$200,MATCH($B82,'DATA PHÍ &amp; SẢN PHẨM'!$L$13:$L$200,0)),0))</f>
        <v/>
      </c>
      <c r="M82" s="24" t="str">
        <f t="shared" si="15"/>
        <v/>
      </c>
      <c r="N82" s="24" t="str">
        <f>IF($B82="","",$F82*'DATA PHÍ &amp; SẢN PHẨM'!$B$4)</f>
        <v/>
      </c>
      <c r="O82" s="24" t="str">
        <f>IF($B82="","",'DATA PHÍ &amp; SẢN PHẨM'!$B$5)</f>
        <v/>
      </c>
      <c r="P82" s="24" t="str">
        <f t="shared" si="16"/>
        <v/>
      </c>
      <c r="Q82" s="25" t="str">
        <f t="shared" si="17"/>
        <v/>
      </c>
      <c r="R82" s="26" t="str">
        <f t="shared" si="18"/>
        <v/>
      </c>
      <c r="S82" s="27" t="str">
        <f t="shared" si="19"/>
        <v/>
      </c>
      <c r="T82" s="28" t="str">
        <f t="shared" si="20"/>
        <v/>
      </c>
      <c r="U82" s="19"/>
    </row>
    <row r="83" spans="1:21" ht="16.05" customHeight="1">
      <c r="A83" s="18"/>
      <c r="B83" s="19"/>
      <c r="C83" s="19"/>
      <c r="D83" s="20"/>
      <c r="E83" s="20"/>
      <c r="F83" s="21" t="str">
        <f t="shared" si="14"/>
        <v/>
      </c>
      <c r="G83" s="21" t="str">
        <f>IF($B83="","",IFERROR(INDEX('DATA PHÍ &amp; SẢN PHẨM'!$M$13:$M$200,MATCH($B83,'DATA PHÍ &amp; SẢN PHẨM'!$L$13:$L$200,0)),0))</f>
        <v/>
      </c>
      <c r="H83" s="22"/>
      <c r="I83" s="20"/>
      <c r="J83" s="20"/>
      <c r="K83" s="23" t="str">
        <f>IF($B83="","",IFERROR(INDEX('DATA PHÍ &amp; SẢN PHẨM'!$F$13:$F$200,MATCH($B83,'DATA PHÍ &amp; SẢN PHẨM'!$L$13:$L$200,0)),0))</f>
        <v/>
      </c>
      <c r="L83" s="23" t="str">
        <f>IF($B83="","",IFERROR(INDEX('DATA PHÍ &amp; SẢN PHẨM'!$G$13:$G$200,MATCH($B83,'DATA PHÍ &amp; SẢN PHẨM'!$L$13:$L$200,0)),0))</f>
        <v/>
      </c>
      <c r="M83" s="24" t="str">
        <f t="shared" si="15"/>
        <v/>
      </c>
      <c r="N83" s="24" t="str">
        <f>IF($B83="","",$F83*'DATA PHÍ &amp; SẢN PHẨM'!$B$4)</f>
        <v/>
      </c>
      <c r="O83" s="24" t="str">
        <f>IF($B83="","",'DATA PHÍ &amp; SẢN PHẨM'!$B$5)</f>
        <v/>
      </c>
      <c r="P83" s="24" t="str">
        <f t="shared" si="16"/>
        <v/>
      </c>
      <c r="Q83" s="25" t="str">
        <f t="shared" si="17"/>
        <v/>
      </c>
      <c r="R83" s="26" t="str">
        <f t="shared" si="18"/>
        <v/>
      </c>
      <c r="S83" s="27" t="str">
        <f t="shared" si="19"/>
        <v/>
      </c>
      <c r="T83" s="28" t="str">
        <f t="shared" si="20"/>
        <v/>
      </c>
      <c r="U83" s="19"/>
    </row>
    <row r="84" spans="1:21" ht="16.05" customHeight="1">
      <c r="A84" s="18"/>
      <c r="B84" s="19"/>
      <c r="C84" s="19"/>
      <c r="D84" s="20"/>
      <c r="E84" s="20"/>
      <c r="F84" s="21" t="str">
        <f t="shared" si="14"/>
        <v/>
      </c>
      <c r="G84" s="21" t="str">
        <f>IF($B84="","",IFERROR(INDEX('DATA PHÍ &amp; SẢN PHẨM'!$M$13:$M$200,MATCH($B84,'DATA PHÍ &amp; SẢN PHẨM'!$L$13:$L$200,0)),0))</f>
        <v/>
      </c>
      <c r="H84" s="22"/>
      <c r="I84" s="20"/>
      <c r="J84" s="20"/>
      <c r="K84" s="23" t="str">
        <f>IF($B84="","",IFERROR(INDEX('DATA PHÍ &amp; SẢN PHẨM'!$F$13:$F$200,MATCH($B84,'DATA PHÍ &amp; SẢN PHẨM'!$L$13:$L$200,0)),0))</f>
        <v/>
      </c>
      <c r="L84" s="23" t="str">
        <f>IF($B84="","",IFERROR(INDEX('DATA PHÍ &amp; SẢN PHẨM'!$G$13:$G$200,MATCH($B84,'DATA PHÍ &amp; SẢN PHẨM'!$L$13:$L$200,0)),0))</f>
        <v/>
      </c>
      <c r="M84" s="24" t="str">
        <f t="shared" si="15"/>
        <v/>
      </c>
      <c r="N84" s="24" t="str">
        <f>IF($B84="","",$F84*'DATA PHÍ &amp; SẢN PHẨM'!$B$4)</f>
        <v/>
      </c>
      <c r="O84" s="24" t="str">
        <f>IF($B84="","",'DATA PHÍ &amp; SẢN PHẨM'!$B$5)</f>
        <v/>
      </c>
      <c r="P84" s="24" t="str">
        <f t="shared" si="16"/>
        <v/>
      </c>
      <c r="Q84" s="25" t="str">
        <f t="shared" si="17"/>
        <v/>
      </c>
      <c r="R84" s="26" t="str">
        <f t="shared" si="18"/>
        <v/>
      </c>
      <c r="S84" s="27" t="str">
        <f t="shared" si="19"/>
        <v/>
      </c>
      <c r="T84" s="28" t="str">
        <f t="shared" si="20"/>
        <v/>
      </c>
      <c r="U84" s="19"/>
    </row>
    <row r="85" spans="1:21" ht="16.05" customHeight="1">
      <c r="A85" s="18"/>
      <c r="B85" s="19"/>
      <c r="C85" s="19"/>
      <c r="D85" s="20"/>
      <c r="E85" s="20"/>
      <c r="F85" s="21" t="str">
        <f t="shared" si="14"/>
        <v/>
      </c>
      <c r="G85" s="21" t="str">
        <f>IF($B85="","",IFERROR(INDEX('DATA PHÍ &amp; SẢN PHẨM'!$M$13:$M$200,MATCH($B85,'DATA PHÍ &amp; SẢN PHẨM'!$L$13:$L$200,0)),0))</f>
        <v/>
      </c>
      <c r="H85" s="22"/>
      <c r="I85" s="20"/>
      <c r="J85" s="20"/>
      <c r="K85" s="23" t="str">
        <f>IF($B85="","",IFERROR(INDEX('DATA PHÍ &amp; SẢN PHẨM'!$F$13:$F$200,MATCH($B85,'DATA PHÍ &amp; SẢN PHẨM'!$L$13:$L$200,0)),0))</f>
        <v/>
      </c>
      <c r="L85" s="23" t="str">
        <f>IF($B85="","",IFERROR(INDEX('DATA PHÍ &amp; SẢN PHẨM'!$G$13:$G$200,MATCH($B85,'DATA PHÍ &amp; SẢN PHẨM'!$L$13:$L$200,0)),0))</f>
        <v/>
      </c>
      <c r="M85" s="24" t="str">
        <f t="shared" si="15"/>
        <v/>
      </c>
      <c r="N85" s="24" t="str">
        <f>IF($B85="","",$F85*'DATA PHÍ &amp; SẢN PHẨM'!$B$4)</f>
        <v/>
      </c>
      <c r="O85" s="24" t="str">
        <f>IF($B85="","",'DATA PHÍ &amp; SẢN PHẨM'!$B$5)</f>
        <v/>
      </c>
      <c r="P85" s="24" t="str">
        <f t="shared" si="16"/>
        <v/>
      </c>
      <c r="Q85" s="25" t="str">
        <f t="shared" si="17"/>
        <v/>
      </c>
      <c r="R85" s="26" t="str">
        <f t="shared" si="18"/>
        <v/>
      </c>
      <c r="S85" s="27" t="str">
        <f t="shared" si="19"/>
        <v/>
      </c>
      <c r="T85" s="28" t="str">
        <f t="shared" si="20"/>
        <v/>
      </c>
      <c r="U85" s="19"/>
    </row>
    <row r="86" spans="1:21" ht="16.05" customHeight="1">
      <c r="A86" s="18"/>
      <c r="B86" s="19"/>
      <c r="C86" s="19"/>
      <c r="D86" s="20"/>
      <c r="E86" s="20"/>
      <c r="F86" s="21" t="str">
        <f t="shared" si="14"/>
        <v/>
      </c>
      <c r="G86" s="21" t="str">
        <f>IF($B86="","",IFERROR(INDEX('DATA PHÍ &amp; SẢN PHẨM'!$M$13:$M$200,MATCH($B86,'DATA PHÍ &amp; SẢN PHẨM'!$L$13:$L$200,0)),0))</f>
        <v/>
      </c>
      <c r="H86" s="22"/>
      <c r="I86" s="20"/>
      <c r="J86" s="20"/>
      <c r="K86" s="23" t="str">
        <f>IF($B86="","",IFERROR(INDEX('DATA PHÍ &amp; SẢN PHẨM'!$F$13:$F$200,MATCH($B86,'DATA PHÍ &amp; SẢN PHẨM'!$L$13:$L$200,0)),0))</f>
        <v/>
      </c>
      <c r="L86" s="23" t="str">
        <f>IF($B86="","",IFERROR(INDEX('DATA PHÍ &amp; SẢN PHẨM'!$G$13:$G$200,MATCH($B86,'DATA PHÍ &amp; SẢN PHẨM'!$L$13:$L$200,0)),0))</f>
        <v/>
      </c>
      <c r="M86" s="24" t="str">
        <f t="shared" si="15"/>
        <v/>
      </c>
      <c r="N86" s="24" t="str">
        <f>IF($B86="","",$F86*'DATA PHÍ &amp; SẢN PHẨM'!$B$4)</f>
        <v/>
      </c>
      <c r="O86" s="24" t="str">
        <f>IF($B86="","",'DATA PHÍ &amp; SẢN PHẨM'!$B$5)</f>
        <v/>
      </c>
      <c r="P86" s="24" t="str">
        <f t="shared" si="16"/>
        <v/>
      </c>
      <c r="Q86" s="25" t="str">
        <f t="shared" si="17"/>
        <v/>
      </c>
      <c r="R86" s="26" t="str">
        <f t="shared" si="18"/>
        <v/>
      </c>
      <c r="S86" s="27" t="str">
        <f t="shared" si="19"/>
        <v/>
      </c>
      <c r="T86" s="28" t="str">
        <f t="shared" si="20"/>
        <v/>
      </c>
      <c r="U86" s="19"/>
    </row>
    <row r="87" spans="1:21" ht="16.05" customHeight="1">
      <c r="A87" s="18"/>
      <c r="B87" s="19"/>
      <c r="C87" s="19"/>
      <c r="D87" s="20"/>
      <c r="E87" s="20"/>
      <c r="F87" s="21" t="str">
        <f t="shared" si="14"/>
        <v/>
      </c>
      <c r="G87" s="21" t="str">
        <f>IF($B87="","",IFERROR(INDEX('DATA PHÍ &amp; SẢN PHẨM'!$M$13:$M$200,MATCH($B87,'DATA PHÍ &amp; SẢN PHẨM'!$L$13:$L$200,0)),0))</f>
        <v/>
      </c>
      <c r="H87" s="22"/>
      <c r="I87" s="20"/>
      <c r="J87" s="20"/>
      <c r="K87" s="23" t="str">
        <f>IF($B87="","",IFERROR(INDEX('DATA PHÍ &amp; SẢN PHẨM'!$F$13:$F$200,MATCH($B87,'DATA PHÍ &amp; SẢN PHẨM'!$L$13:$L$200,0)),0))</f>
        <v/>
      </c>
      <c r="L87" s="23" t="str">
        <f>IF($B87="","",IFERROR(INDEX('DATA PHÍ &amp; SẢN PHẨM'!$G$13:$G$200,MATCH($B87,'DATA PHÍ &amp; SẢN PHẨM'!$L$13:$L$200,0)),0))</f>
        <v/>
      </c>
      <c r="M87" s="24" t="str">
        <f t="shared" si="15"/>
        <v/>
      </c>
      <c r="N87" s="24" t="str">
        <f>IF($B87="","",$F87*'DATA PHÍ &amp; SẢN PHẨM'!$B$4)</f>
        <v/>
      </c>
      <c r="O87" s="24" t="str">
        <f>IF($B87="","",'DATA PHÍ &amp; SẢN PHẨM'!$B$5)</f>
        <v/>
      </c>
      <c r="P87" s="24" t="str">
        <f t="shared" si="16"/>
        <v/>
      </c>
      <c r="Q87" s="25" t="str">
        <f t="shared" si="17"/>
        <v/>
      </c>
      <c r="R87" s="26" t="str">
        <f t="shared" si="18"/>
        <v/>
      </c>
      <c r="S87" s="27" t="str">
        <f t="shared" si="19"/>
        <v/>
      </c>
      <c r="T87" s="28" t="str">
        <f t="shared" si="20"/>
        <v/>
      </c>
      <c r="U87" s="19"/>
    </row>
    <row r="88" spans="1:21" ht="16.05" customHeight="1">
      <c r="A88" s="18"/>
      <c r="B88" s="19"/>
      <c r="C88" s="19"/>
      <c r="D88" s="20"/>
      <c r="E88" s="20"/>
      <c r="F88" s="21" t="str">
        <f t="shared" si="14"/>
        <v/>
      </c>
      <c r="G88" s="21" t="str">
        <f>IF($B88="","",IFERROR(INDEX('DATA PHÍ &amp; SẢN PHẨM'!$M$13:$M$200,MATCH($B88,'DATA PHÍ &amp; SẢN PHẨM'!$L$13:$L$200,0)),0))</f>
        <v/>
      </c>
      <c r="H88" s="22"/>
      <c r="I88" s="20"/>
      <c r="J88" s="20"/>
      <c r="K88" s="23" t="str">
        <f>IF($B88="","",IFERROR(INDEX('DATA PHÍ &amp; SẢN PHẨM'!$F$13:$F$200,MATCH($B88,'DATA PHÍ &amp; SẢN PHẨM'!$L$13:$L$200,0)),0))</f>
        <v/>
      </c>
      <c r="L88" s="23" t="str">
        <f>IF($B88="","",IFERROR(INDEX('DATA PHÍ &amp; SẢN PHẨM'!$G$13:$G$200,MATCH($B88,'DATA PHÍ &amp; SẢN PHẨM'!$L$13:$L$200,0)),0))</f>
        <v/>
      </c>
      <c r="M88" s="24" t="str">
        <f t="shared" si="15"/>
        <v/>
      </c>
      <c r="N88" s="24" t="str">
        <f>IF($B88="","",$F88*'DATA PHÍ &amp; SẢN PHẨM'!$B$4)</f>
        <v/>
      </c>
      <c r="O88" s="24" t="str">
        <f>IF($B88="","",'DATA PHÍ &amp; SẢN PHẨM'!$B$5)</f>
        <v/>
      </c>
      <c r="P88" s="24" t="str">
        <f t="shared" si="16"/>
        <v/>
      </c>
      <c r="Q88" s="25" t="str">
        <f t="shared" si="17"/>
        <v/>
      </c>
      <c r="R88" s="26" t="str">
        <f t="shared" si="18"/>
        <v/>
      </c>
      <c r="S88" s="27" t="str">
        <f t="shared" si="19"/>
        <v/>
      </c>
      <c r="T88" s="28" t="str">
        <f t="shared" si="20"/>
        <v/>
      </c>
      <c r="U88" s="19"/>
    </row>
    <row r="89" spans="1:21" ht="16.05" customHeight="1">
      <c r="A89" s="18"/>
      <c r="B89" s="19"/>
      <c r="C89" s="19"/>
      <c r="D89" s="20"/>
      <c r="E89" s="20"/>
      <c r="F89" s="21" t="str">
        <f t="shared" si="14"/>
        <v/>
      </c>
      <c r="G89" s="21" t="str">
        <f>IF($B89="","",IFERROR(INDEX('DATA PHÍ &amp; SẢN PHẨM'!$M$13:$M$200,MATCH($B89,'DATA PHÍ &amp; SẢN PHẨM'!$L$13:$L$200,0)),0))</f>
        <v/>
      </c>
      <c r="H89" s="22"/>
      <c r="I89" s="20"/>
      <c r="J89" s="20"/>
      <c r="K89" s="23" t="str">
        <f>IF($B89="","",IFERROR(INDEX('DATA PHÍ &amp; SẢN PHẨM'!$F$13:$F$200,MATCH($B89,'DATA PHÍ &amp; SẢN PHẨM'!$L$13:$L$200,0)),0))</f>
        <v/>
      </c>
      <c r="L89" s="23" t="str">
        <f>IF($B89="","",IFERROR(INDEX('DATA PHÍ &amp; SẢN PHẨM'!$G$13:$G$200,MATCH($B89,'DATA PHÍ &amp; SẢN PHẨM'!$L$13:$L$200,0)),0))</f>
        <v/>
      </c>
      <c r="M89" s="24" t="str">
        <f t="shared" si="15"/>
        <v/>
      </c>
      <c r="N89" s="24" t="str">
        <f>IF($B89="","",$F89*'DATA PHÍ &amp; SẢN PHẨM'!$B$4)</f>
        <v/>
      </c>
      <c r="O89" s="24" t="str">
        <f>IF($B89="","",'DATA PHÍ &amp; SẢN PHẨM'!$B$5)</f>
        <v/>
      </c>
      <c r="P89" s="24" t="str">
        <f t="shared" si="16"/>
        <v/>
      </c>
      <c r="Q89" s="25" t="str">
        <f t="shared" si="17"/>
        <v/>
      </c>
      <c r="R89" s="26" t="str">
        <f t="shared" si="18"/>
        <v/>
      </c>
      <c r="S89" s="27" t="str">
        <f t="shared" si="19"/>
        <v/>
      </c>
      <c r="T89" s="28" t="str">
        <f t="shared" si="20"/>
        <v/>
      </c>
      <c r="U89" s="19"/>
    </row>
    <row r="90" spans="1:21" ht="16.05" customHeight="1">
      <c r="A90" s="18"/>
      <c r="B90" s="19"/>
      <c r="C90" s="19"/>
      <c r="D90" s="20"/>
      <c r="E90" s="20"/>
      <c r="F90" s="21" t="str">
        <f t="shared" si="14"/>
        <v/>
      </c>
      <c r="G90" s="21" t="str">
        <f>IF($B90="","",IFERROR(INDEX('DATA PHÍ &amp; SẢN PHẨM'!$M$13:$M$200,MATCH($B90,'DATA PHÍ &amp; SẢN PHẨM'!$L$13:$L$200,0)),0))</f>
        <v/>
      </c>
      <c r="H90" s="22"/>
      <c r="I90" s="20"/>
      <c r="J90" s="20"/>
      <c r="K90" s="23" t="str">
        <f>IF($B90="","",IFERROR(INDEX('DATA PHÍ &amp; SẢN PHẨM'!$F$13:$F$200,MATCH($B90,'DATA PHÍ &amp; SẢN PHẨM'!$L$13:$L$200,0)),0))</f>
        <v/>
      </c>
      <c r="L90" s="23" t="str">
        <f>IF($B90="","",IFERROR(INDEX('DATA PHÍ &amp; SẢN PHẨM'!$G$13:$G$200,MATCH($B90,'DATA PHÍ &amp; SẢN PHẨM'!$L$13:$L$200,0)),0))</f>
        <v/>
      </c>
      <c r="M90" s="24" t="str">
        <f t="shared" si="15"/>
        <v/>
      </c>
      <c r="N90" s="24" t="str">
        <f>IF($B90="","",$F90*'DATA PHÍ &amp; SẢN PHẨM'!$B$4)</f>
        <v/>
      </c>
      <c r="O90" s="24" t="str">
        <f>IF($B90="","",'DATA PHÍ &amp; SẢN PHẨM'!$B$5)</f>
        <v/>
      </c>
      <c r="P90" s="24" t="str">
        <f t="shared" si="16"/>
        <v/>
      </c>
      <c r="Q90" s="25" t="str">
        <f t="shared" si="17"/>
        <v/>
      </c>
      <c r="R90" s="26" t="str">
        <f t="shared" si="18"/>
        <v/>
      </c>
      <c r="S90" s="27" t="str">
        <f t="shared" si="19"/>
        <v/>
      </c>
      <c r="T90" s="28" t="str">
        <f t="shared" si="20"/>
        <v/>
      </c>
      <c r="U90" s="19"/>
    </row>
    <row r="91" spans="1:21" ht="16.05" customHeight="1">
      <c r="A91" s="18"/>
      <c r="B91" s="19"/>
      <c r="C91" s="19"/>
      <c r="D91" s="20"/>
      <c r="E91" s="20"/>
      <c r="F91" s="21" t="str">
        <f t="shared" si="14"/>
        <v/>
      </c>
      <c r="G91" s="21" t="str">
        <f>IF($B91="","",IFERROR(INDEX('DATA PHÍ &amp; SẢN PHẨM'!$M$13:$M$200,MATCH($B91,'DATA PHÍ &amp; SẢN PHẨM'!$L$13:$L$200,0)),0))</f>
        <v/>
      </c>
      <c r="H91" s="22"/>
      <c r="I91" s="20"/>
      <c r="J91" s="20"/>
      <c r="K91" s="23" t="str">
        <f>IF($B91="","",IFERROR(INDEX('DATA PHÍ &amp; SẢN PHẨM'!$F$13:$F$200,MATCH($B91,'DATA PHÍ &amp; SẢN PHẨM'!$L$13:$L$200,0)),0))</f>
        <v/>
      </c>
      <c r="L91" s="23" t="str">
        <f>IF($B91="","",IFERROR(INDEX('DATA PHÍ &amp; SẢN PHẨM'!$G$13:$G$200,MATCH($B91,'DATA PHÍ &amp; SẢN PHẨM'!$L$13:$L$200,0)),0))</f>
        <v/>
      </c>
      <c r="M91" s="24" t="str">
        <f t="shared" si="15"/>
        <v/>
      </c>
      <c r="N91" s="24" t="str">
        <f>IF($B91="","",$F91*'DATA PHÍ &amp; SẢN PHẨM'!$B$4)</f>
        <v/>
      </c>
      <c r="O91" s="24" t="str">
        <f>IF($B91="","",'DATA PHÍ &amp; SẢN PHẨM'!$B$5)</f>
        <v/>
      </c>
      <c r="P91" s="24" t="str">
        <f t="shared" si="16"/>
        <v/>
      </c>
      <c r="Q91" s="25" t="str">
        <f t="shared" si="17"/>
        <v/>
      </c>
      <c r="R91" s="26" t="str">
        <f t="shared" si="18"/>
        <v/>
      </c>
      <c r="S91" s="27" t="str">
        <f t="shared" si="19"/>
        <v/>
      </c>
      <c r="T91" s="28" t="str">
        <f t="shared" si="20"/>
        <v/>
      </c>
      <c r="U91" s="19"/>
    </row>
    <row r="92" spans="1:21" ht="16.05" customHeight="1">
      <c r="A92" s="18"/>
      <c r="B92" s="19"/>
      <c r="C92" s="19"/>
      <c r="D92" s="20"/>
      <c r="E92" s="20"/>
      <c r="F92" s="21" t="str">
        <f t="shared" si="14"/>
        <v/>
      </c>
      <c r="G92" s="21" t="str">
        <f>IF($B92="","",IFERROR(INDEX('DATA PHÍ &amp; SẢN PHẨM'!$M$13:$M$200,MATCH($B92,'DATA PHÍ &amp; SẢN PHẨM'!$L$13:$L$200,0)),0))</f>
        <v/>
      </c>
      <c r="H92" s="22"/>
      <c r="I92" s="20"/>
      <c r="J92" s="20"/>
      <c r="K92" s="23" t="str">
        <f>IF($B92="","",IFERROR(INDEX('DATA PHÍ &amp; SẢN PHẨM'!$F$13:$F$200,MATCH($B92,'DATA PHÍ &amp; SẢN PHẨM'!$L$13:$L$200,0)),0))</f>
        <v/>
      </c>
      <c r="L92" s="23" t="str">
        <f>IF($B92="","",IFERROR(INDEX('DATA PHÍ &amp; SẢN PHẨM'!$G$13:$G$200,MATCH($B92,'DATA PHÍ &amp; SẢN PHẨM'!$L$13:$L$200,0)),0))</f>
        <v/>
      </c>
      <c r="M92" s="24" t="str">
        <f t="shared" si="15"/>
        <v/>
      </c>
      <c r="N92" s="24" t="str">
        <f>IF($B92="","",$F92*'DATA PHÍ &amp; SẢN PHẨM'!$B$4)</f>
        <v/>
      </c>
      <c r="O92" s="24" t="str">
        <f>IF($B92="","",'DATA PHÍ &amp; SẢN PHẨM'!$B$5)</f>
        <v/>
      </c>
      <c r="P92" s="24" t="str">
        <f t="shared" si="16"/>
        <v/>
      </c>
      <c r="Q92" s="25" t="str">
        <f t="shared" si="17"/>
        <v/>
      </c>
      <c r="R92" s="26" t="str">
        <f t="shared" si="18"/>
        <v/>
      </c>
      <c r="S92" s="27" t="str">
        <f t="shared" si="19"/>
        <v/>
      </c>
      <c r="T92" s="28" t="str">
        <f t="shared" si="20"/>
        <v/>
      </c>
      <c r="U92" s="19"/>
    </row>
    <row r="93" spans="1:21" ht="16.05" customHeight="1">
      <c r="A93" s="18"/>
      <c r="B93" s="19"/>
      <c r="C93" s="19"/>
      <c r="D93" s="20"/>
      <c r="E93" s="20"/>
      <c r="F93" s="21" t="str">
        <f t="shared" si="14"/>
        <v/>
      </c>
      <c r="G93" s="21" t="str">
        <f>IF($B93="","",IFERROR(INDEX('DATA PHÍ &amp; SẢN PHẨM'!$M$13:$M$200,MATCH($B93,'DATA PHÍ &amp; SẢN PHẨM'!$L$13:$L$200,0)),0))</f>
        <v/>
      </c>
      <c r="H93" s="22"/>
      <c r="I93" s="20"/>
      <c r="J93" s="20"/>
      <c r="K93" s="23" t="str">
        <f>IF($B93="","",IFERROR(INDEX('DATA PHÍ &amp; SẢN PHẨM'!$F$13:$F$200,MATCH($B93,'DATA PHÍ &amp; SẢN PHẨM'!$L$13:$L$200,0)),0))</f>
        <v/>
      </c>
      <c r="L93" s="23" t="str">
        <f>IF($B93="","",IFERROR(INDEX('DATA PHÍ &amp; SẢN PHẨM'!$G$13:$G$200,MATCH($B93,'DATA PHÍ &amp; SẢN PHẨM'!$L$13:$L$200,0)),0))</f>
        <v/>
      </c>
      <c r="M93" s="24" t="str">
        <f t="shared" si="15"/>
        <v/>
      </c>
      <c r="N93" s="24" t="str">
        <f>IF($B93="","",$F93*'DATA PHÍ &amp; SẢN PHẨM'!$B$4)</f>
        <v/>
      </c>
      <c r="O93" s="24" t="str">
        <f>IF($B93="","",'DATA PHÍ &amp; SẢN PHẨM'!$B$5)</f>
        <v/>
      </c>
      <c r="P93" s="24" t="str">
        <f t="shared" si="16"/>
        <v/>
      </c>
      <c r="Q93" s="25" t="str">
        <f t="shared" si="17"/>
        <v/>
      </c>
      <c r="R93" s="26" t="str">
        <f t="shared" si="18"/>
        <v/>
      </c>
      <c r="S93" s="27" t="str">
        <f t="shared" si="19"/>
        <v/>
      </c>
      <c r="T93" s="28" t="str">
        <f t="shared" si="20"/>
        <v/>
      </c>
      <c r="U93" s="19"/>
    </row>
    <row r="94" spans="1:21" ht="16.05" customHeight="1">
      <c r="A94" s="18"/>
      <c r="B94" s="19"/>
      <c r="C94" s="19"/>
      <c r="D94" s="20"/>
      <c r="E94" s="20"/>
      <c r="F94" s="21" t="str">
        <f t="shared" si="14"/>
        <v/>
      </c>
      <c r="G94" s="21" t="str">
        <f>IF($B94="","",IFERROR(INDEX('DATA PHÍ &amp; SẢN PHẨM'!$M$13:$M$200,MATCH($B94,'DATA PHÍ &amp; SẢN PHẨM'!$L$13:$L$200,0)),0))</f>
        <v/>
      </c>
      <c r="H94" s="22"/>
      <c r="I94" s="20"/>
      <c r="J94" s="20"/>
      <c r="K94" s="23" t="str">
        <f>IF($B94="","",IFERROR(INDEX('DATA PHÍ &amp; SẢN PHẨM'!$F$13:$F$200,MATCH($B94,'DATA PHÍ &amp; SẢN PHẨM'!$L$13:$L$200,0)),0))</f>
        <v/>
      </c>
      <c r="L94" s="23" t="str">
        <f>IF($B94="","",IFERROR(INDEX('DATA PHÍ &amp; SẢN PHẨM'!$G$13:$G$200,MATCH($B94,'DATA PHÍ &amp; SẢN PHẨM'!$L$13:$L$200,0)),0))</f>
        <v/>
      </c>
      <c r="M94" s="24" t="str">
        <f t="shared" si="15"/>
        <v/>
      </c>
      <c r="N94" s="24" t="str">
        <f>IF($B94="","",$F94*'DATA PHÍ &amp; SẢN PHẨM'!$B$4)</f>
        <v/>
      </c>
      <c r="O94" s="24" t="str">
        <f>IF($B94="","",'DATA PHÍ &amp; SẢN PHẨM'!$B$5)</f>
        <v/>
      </c>
      <c r="P94" s="24" t="str">
        <f t="shared" si="16"/>
        <v/>
      </c>
      <c r="Q94" s="25" t="str">
        <f t="shared" si="17"/>
        <v/>
      </c>
      <c r="R94" s="26" t="str">
        <f t="shared" si="18"/>
        <v/>
      </c>
      <c r="S94" s="27" t="str">
        <f t="shared" si="19"/>
        <v/>
      </c>
      <c r="T94" s="28" t="str">
        <f t="shared" si="20"/>
        <v/>
      </c>
      <c r="U94" s="19"/>
    </row>
    <row r="95" spans="1:21" ht="16.05" customHeight="1">
      <c r="A95" s="18"/>
      <c r="B95" s="19"/>
      <c r="C95" s="19"/>
      <c r="D95" s="20"/>
      <c r="E95" s="20"/>
      <c r="F95" s="21" t="str">
        <f t="shared" si="14"/>
        <v/>
      </c>
      <c r="G95" s="21" t="str">
        <f>IF($B95="","",IFERROR(INDEX('DATA PHÍ &amp; SẢN PHẨM'!$M$13:$M$200,MATCH($B95,'DATA PHÍ &amp; SẢN PHẨM'!$L$13:$L$200,0)),0))</f>
        <v/>
      </c>
      <c r="H95" s="22"/>
      <c r="I95" s="20"/>
      <c r="J95" s="20"/>
      <c r="K95" s="23" t="str">
        <f>IF($B95="","",IFERROR(INDEX('DATA PHÍ &amp; SẢN PHẨM'!$F$13:$F$200,MATCH($B95,'DATA PHÍ &amp; SẢN PHẨM'!$L$13:$L$200,0)),0))</f>
        <v/>
      </c>
      <c r="L95" s="23" t="str">
        <f>IF($B95="","",IFERROR(INDEX('DATA PHÍ &amp; SẢN PHẨM'!$G$13:$G$200,MATCH($B95,'DATA PHÍ &amp; SẢN PHẨM'!$L$13:$L$200,0)),0))</f>
        <v/>
      </c>
      <c r="M95" s="24" t="str">
        <f t="shared" si="15"/>
        <v/>
      </c>
      <c r="N95" s="24" t="str">
        <f>IF($B95="","",$F95*'DATA PHÍ &amp; SẢN PHẨM'!$B$4)</f>
        <v/>
      </c>
      <c r="O95" s="24" t="str">
        <f>IF($B95="","",'DATA PHÍ &amp; SẢN PHẨM'!$B$5)</f>
        <v/>
      </c>
      <c r="P95" s="24" t="str">
        <f t="shared" si="16"/>
        <v/>
      </c>
      <c r="Q95" s="25" t="str">
        <f t="shared" si="17"/>
        <v/>
      </c>
      <c r="R95" s="26" t="str">
        <f t="shared" si="18"/>
        <v/>
      </c>
      <c r="S95" s="27" t="str">
        <f t="shared" si="19"/>
        <v/>
      </c>
      <c r="T95" s="28" t="str">
        <f t="shared" si="20"/>
        <v/>
      </c>
      <c r="U95" s="19"/>
    </row>
    <row r="96" spans="1:21" ht="16.05" customHeight="1">
      <c r="A96" s="18"/>
      <c r="B96" s="19"/>
      <c r="C96" s="19"/>
      <c r="D96" s="20"/>
      <c r="E96" s="20"/>
      <c r="F96" s="21" t="str">
        <f t="shared" si="14"/>
        <v/>
      </c>
      <c r="G96" s="21" t="str">
        <f>IF($B96="","",IFERROR(INDEX('DATA PHÍ &amp; SẢN PHẨM'!$M$13:$M$200,MATCH($B96,'DATA PHÍ &amp; SẢN PHẨM'!$L$13:$L$200,0)),0))</f>
        <v/>
      </c>
      <c r="H96" s="22"/>
      <c r="I96" s="20"/>
      <c r="J96" s="20"/>
      <c r="K96" s="23" t="str">
        <f>IF($B96="","",IFERROR(INDEX('DATA PHÍ &amp; SẢN PHẨM'!$F$13:$F$200,MATCH($B96,'DATA PHÍ &amp; SẢN PHẨM'!$L$13:$L$200,0)),0))</f>
        <v/>
      </c>
      <c r="L96" s="23" t="str">
        <f>IF($B96="","",IFERROR(INDEX('DATA PHÍ &amp; SẢN PHẨM'!$G$13:$G$200,MATCH($B96,'DATA PHÍ &amp; SẢN PHẨM'!$L$13:$L$200,0)),0))</f>
        <v/>
      </c>
      <c r="M96" s="24" t="str">
        <f t="shared" si="15"/>
        <v/>
      </c>
      <c r="N96" s="24" t="str">
        <f>IF($B96="","",$F96*'DATA PHÍ &amp; SẢN PHẨM'!$B$4)</f>
        <v/>
      </c>
      <c r="O96" s="24" t="str">
        <f>IF($B96="","",'DATA PHÍ &amp; SẢN PHẨM'!$B$5)</f>
        <v/>
      </c>
      <c r="P96" s="24" t="str">
        <f t="shared" si="16"/>
        <v/>
      </c>
      <c r="Q96" s="25" t="str">
        <f t="shared" si="17"/>
        <v/>
      </c>
      <c r="R96" s="26" t="str">
        <f t="shared" si="18"/>
        <v/>
      </c>
      <c r="S96" s="27" t="str">
        <f t="shared" si="19"/>
        <v/>
      </c>
      <c r="T96" s="28" t="str">
        <f t="shared" si="20"/>
        <v/>
      </c>
      <c r="U96" s="19"/>
    </row>
    <row r="97" spans="1:21" ht="16.05" customHeight="1">
      <c r="A97" s="18"/>
      <c r="B97" s="19"/>
      <c r="C97" s="19"/>
      <c r="D97" s="20"/>
      <c r="E97" s="20"/>
      <c r="F97" s="21" t="str">
        <f t="shared" si="14"/>
        <v/>
      </c>
      <c r="G97" s="21" t="str">
        <f>IF($B97="","",IFERROR(INDEX('DATA PHÍ &amp; SẢN PHẨM'!$M$13:$M$200,MATCH($B97,'DATA PHÍ &amp; SẢN PHẨM'!$L$13:$L$200,0)),0))</f>
        <v/>
      </c>
      <c r="H97" s="22"/>
      <c r="I97" s="20"/>
      <c r="J97" s="20"/>
      <c r="K97" s="23" t="str">
        <f>IF($B97="","",IFERROR(INDEX('DATA PHÍ &amp; SẢN PHẨM'!$F$13:$F$200,MATCH($B97,'DATA PHÍ &amp; SẢN PHẨM'!$L$13:$L$200,0)),0))</f>
        <v/>
      </c>
      <c r="L97" s="23" t="str">
        <f>IF($B97="","",IFERROR(INDEX('DATA PHÍ &amp; SẢN PHẨM'!$G$13:$G$200,MATCH($B97,'DATA PHÍ &amp; SẢN PHẨM'!$L$13:$L$200,0)),0))</f>
        <v/>
      </c>
      <c r="M97" s="24" t="str">
        <f t="shared" si="15"/>
        <v/>
      </c>
      <c r="N97" s="24" t="str">
        <f>IF($B97="","",$F97*'DATA PHÍ &amp; SẢN PHẨM'!$B$4)</f>
        <v/>
      </c>
      <c r="O97" s="24" t="str">
        <f>IF($B97="","",'DATA PHÍ &amp; SẢN PHẨM'!$B$5)</f>
        <v/>
      </c>
      <c r="P97" s="24" t="str">
        <f t="shared" si="16"/>
        <v/>
      </c>
      <c r="Q97" s="25" t="str">
        <f t="shared" si="17"/>
        <v/>
      </c>
      <c r="R97" s="26" t="str">
        <f t="shared" si="18"/>
        <v/>
      </c>
      <c r="S97" s="27" t="str">
        <f t="shared" si="19"/>
        <v/>
      </c>
      <c r="T97" s="28" t="str">
        <f t="shared" si="20"/>
        <v/>
      </c>
      <c r="U97" s="19"/>
    </row>
    <row r="98" spans="1:21" ht="16.05" customHeight="1">
      <c r="A98" s="18"/>
      <c r="B98" s="19"/>
      <c r="C98" s="19"/>
      <c r="D98" s="20"/>
      <c r="E98" s="20"/>
      <c r="F98" s="21" t="str">
        <f t="shared" si="14"/>
        <v/>
      </c>
      <c r="G98" s="21" t="str">
        <f>IF($B98="","",IFERROR(INDEX('DATA PHÍ &amp; SẢN PHẨM'!$M$13:$M$200,MATCH($B98,'DATA PHÍ &amp; SẢN PHẨM'!$L$13:$L$200,0)),0))</f>
        <v/>
      </c>
      <c r="H98" s="22"/>
      <c r="I98" s="20"/>
      <c r="J98" s="20"/>
      <c r="K98" s="23" t="str">
        <f>IF($B98="","",IFERROR(INDEX('DATA PHÍ &amp; SẢN PHẨM'!$F$13:$F$200,MATCH($B98,'DATA PHÍ &amp; SẢN PHẨM'!$L$13:$L$200,0)),0))</f>
        <v/>
      </c>
      <c r="L98" s="23" t="str">
        <f>IF($B98="","",IFERROR(INDEX('DATA PHÍ &amp; SẢN PHẨM'!$G$13:$G$200,MATCH($B98,'DATA PHÍ &amp; SẢN PHẨM'!$L$13:$L$200,0)),0))</f>
        <v/>
      </c>
      <c r="M98" s="24" t="str">
        <f t="shared" si="15"/>
        <v/>
      </c>
      <c r="N98" s="24" t="str">
        <f>IF($B98="","",$F98*'DATA PHÍ &amp; SẢN PHẨM'!$B$4)</f>
        <v/>
      </c>
      <c r="O98" s="24" t="str">
        <f>IF($B98="","",'DATA PHÍ &amp; SẢN PHẨM'!$B$5)</f>
        <v/>
      </c>
      <c r="P98" s="24" t="str">
        <f t="shared" si="16"/>
        <v/>
      </c>
      <c r="Q98" s="25" t="str">
        <f t="shared" si="17"/>
        <v/>
      </c>
      <c r="R98" s="26" t="str">
        <f t="shared" si="18"/>
        <v/>
      </c>
      <c r="S98" s="27" t="str">
        <f t="shared" si="19"/>
        <v/>
      </c>
      <c r="T98" s="28" t="str">
        <f t="shared" si="20"/>
        <v/>
      </c>
      <c r="U98" s="19"/>
    </row>
    <row r="99" spans="1:21" ht="16.05" customHeight="1">
      <c r="A99" s="18"/>
      <c r="B99" s="19"/>
      <c r="C99" s="19"/>
      <c r="D99" s="20"/>
      <c r="E99" s="20"/>
      <c r="F99" s="21" t="str">
        <f t="shared" si="14"/>
        <v/>
      </c>
      <c r="G99" s="21" t="str">
        <f>IF($B99="","",IFERROR(INDEX('DATA PHÍ &amp; SẢN PHẨM'!$M$13:$M$200,MATCH($B99,'DATA PHÍ &amp; SẢN PHẨM'!$L$13:$L$200,0)),0))</f>
        <v/>
      </c>
      <c r="H99" s="22"/>
      <c r="I99" s="20"/>
      <c r="J99" s="20"/>
      <c r="K99" s="23" t="str">
        <f>IF($B99="","",IFERROR(INDEX('DATA PHÍ &amp; SẢN PHẨM'!$F$13:$F$200,MATCH($B99,'DATA PHÍ &amp; SẢN PHẨM'!$L$13:$L$200,0)),0))</f>
        <v/>
      </c>
      <c r="L99" s="23" t="str">
        <f>IF($B99="","",IFERROR(INDEX('DATA PHÍ &amp; SẢN PHẨM'!$G$13:$G$200,MATCH($B99,'DATA PHÍ &amp; SẢN PHẨM'!$L$13:$L$200,0)),0))</f>
        <v/>
      </c>
      <c r="M99" s="24" t="str">
        <f t="shared" si="15"/>
        <v/>
      </c>
      <c r="N99" s="24" t="str">
        <f>IF($B99="","",$F99*'DATA PHÍ &amp; SẢN PHẨM'!$B$4)</f>
        <v/>
      </c>
      <c r="O99" s="24" t="str">
        <f>IF($B99="","",'DATA PHÍ &amp; SẢN PHẨM'!$B$5)</f>
        <v/>
      </c>
      <c r="P99" s="24" t="str">
        <f t="shared" si="16"/>
        <v/>
      </c>
      <c r="Q99" s="25" t="str">
        <f t="shared" si="17"/>
        <v/>
      </c>
      <c r="R99" s="26" t="str">
        <f t="shared" si="18"/>
        <v/>
      </c>
      <c r="S99" s="27" t="str">
        <f t="shared" si="19"/>
        <v/>
      </c>
      <c r="T99" s="28" t="str">
        <f t="shared" si="20"/>
        <v/>
      </c>
      <c r="U99" s="19"/>
    </row>
    <row r="100" spans="1:21" ht="16.05" customHeight="1">
      <c r="A100" s="18"/>
      <c r="B100" s="19"/>
      <c r="C100" s="19"/>
      <c r="D100" s="20"/>
      <c r="E100" s="20"/>
      <c r="F100" s="21" t="str">
        <f t="shared" si="14"/>
        <v/>
      </c>
      <c r="G100" s="21" t="str">
        <f>IF($B100="","",IFERROR(INDEX('DATA PHÍ &amp; SẢN PHẨM'!$M$13:$M$200,MATCH($B100,'DATA PHÍ &amp; SẢN PHẨM'!$L$13:$L$200,0)),0))</f>
        <v/>
      </c>
      <c r="H100" s="22"/>
      <c r="I100" s="20"/>
      <c r="J100" s="20"/>
      <c r="K100" s="23" t="str">
        <f>IF($B100="","",IFERROR(INDEX('DATA PHÍ &amp; SẢN PHẨM'!$F$13:$F$200,MATCH($B100,'DATA PHÍ &amp; SẢN PHẨM'!$L$13:$L$200,0)),0))</f>
        <v/>
      </c>
      <c r="L100" s="23" t="str">
        <f>IF($B100="","",IFERROR(INDEX('DATA PHÍ &amp; SẢN PHẨM'!$G$13:$G$200,MATCH($B100,'DATA PHÍ &amp; SẢN PHẨM'!$L$13:$L$200,0)),0))</f>
        <v/>
      </c>
      <c r="M100" s="24" t="str">
        <f t="shared" si="15"/>
        <v/>
      </c>
      <c r="N100" s="24" t="str">
        <f>IF($B100="","",$F100*'DATA PHÍ &amp; SẢN PHẨM'!$B$4)</f>
        <v/>
      </c>
      <c r="O100" s="24" t="str">
        <f>IF($B100="","",'DATA PHÍ &amp; SẢN PHẨM'!$B$5)</f>
        <v/>
      </c>
      <c r="P100" s="24" t="str">
        <f t="shared" si="16"/>
        <v/>
      </c>
      <c r="Q100" s="25" t="str">
        <f t="shared" si="17"/>
        <v/>
      </c>
      <c r="R100" s="26" t="str">
        <f t="shared" si="18"/>
        <v/>
      </c>
      <c r="S100" s="27" t="str">
        <f t="shared" si="19"/>
        <v/>
      </c>
      <c r="T100" s="28" t="str">
        <f t="shared" si="20"/>
        <v/>
      </c>
      <c r="U100" s="19"/>
    </row>
    <row r="101" spans="1:21" ht="16.05" customHeight="1">
      <c r="A101" s="18"/>
      <c r="B101" s="19"/>
      <c r="C101" s="19"/>
      <c r="D101" s="20"/>
      <c r="E101" s="20"/>
      <c r="F101" s="21" t="str">
        <f t="shared" si="14"/>
        <v/>
      </c>
      <c r="G101" s="21" t="str">
        <f>IF($B101="","",IFERROR(INDEX('DATA PHÍ &amp; SẢN PHẨM'!$M$13:$M$200,MATCH($B101,'DATA PHÍ &amp; SẢN PHẨM'!$L$13:$L$200,0)),0))</f>
        <v/>
      </c>
      <c r="H101" s="22"/>
      <c r="I101" s="20"/>
      <c r="J101" s="20"/>
      <c r="K101" s="23" t="str">
        <f>IF($B101="","",IFERROR(INDEX('DATA PHÍ &amp; SẢN PHẨM'!$F$13:$F$200,MATCH($B101,'DATA PHÍ &amp; SẢN PHẨM'!$L$13:$L$200,0)),0))</f>
        <v/>
      </c>
      <c r="L101" s="23" t="str">
        <f>IF($B101="","",IFERROR(INDEX('DATA PHÍ &amp; SẢN PHẨM'!$G$13:$G$200,MATCH($B101,'DATA PHÍ &amp; SẢN PHẨM'!$L$13:$L$200,0)),0))</f>
        <v/>
      </c>
      <c r="M101" s="24" t="str">
        <f t="shared" si="15"/>
        <v/>
      </c>
      <c r="N101" s="24" t="str">
        <f>IF($B101="","",$F101*'DATA PHÍ &amp; SẢN PHẨM'!$B$4)</f>
        <v/>
      </c>
      <c r="O101" s="24" t="str">
        <f>IF($B101="","",'DATA PHÍ &amp; SẢN PHẨM'!$B$5)</f>
        <v/>
      </c>
      <c r="P101" s="24" t="str">
        <f t="shared" si="16"/>
        <v/>
      </c>
      <c r="Q101" s="25" t="str">
        <f t="shared" si="17"/>
        <v/>
      </c>
      <c r="R101" s="26" t="str">
        <f t="shared" si="18"/>
        <v/>
      </c>
      <c r="S101" s="27" t="str">
        <f t="shared" si="19"/>
        <v/>
      </c>
      <c r="T101" s="28" t="str">
        <f t="shared" si="20"/>
        <v/>
      </c>
      <c r="U101" s="19"/>
    </row>
    <row r="102" spans="1:21" ht="16.05" customHeight="1">
      <c r="A102" s="18"/>
      <c r="B102" s="19"/>
      <c r="C102" s="19"/>
      <c r="D102" s="20"/>
      <c r="E102" s="20"/>
      <c r="F102" s="21" t="str">
        <f t="shared" si="14"/>
        <v/>
      </c>
      <c r="G102" s="21" t="str">
        <f>IF($B102="","",IFERROR(INDEX('DATA PHÍ &amp; SẢN PHẨM'!$M$13:$M$200,MATCH($B102,'DATA PHÍ &amp; SẢN PHẨM'!$L$13:$L$200,0)),0))</f>
        <v/>
      </c>
      <c r="H102" s="22"/>
      <c r="I102" s="20"/>
      <c r="J102" s="20"/>
      <c r="K102" s="23" t="str">
        <f>IF($B102="","",IFERROR(INDEX('DATA PHÍ &amp; SẢN PHẨM'!$F$13:$F$200,MATCH($B102,'DATA PHÍ &amp; SẢN PHẨM'!$L$13:$L$200,0)),0))</f>
        <v/>
      </c>
      <c r="L102" s="23" t="str">
        <f>IF($B102="","",IFERROR(INDEX('DATA PHÍ &amp; SẢN PHẨM'!$G$13:$G$200,MATCH($B102,'DATA PHÍ &amp; SẢN PHẨM'!$L$13:$L$200,0)),0))</f>
        <v/>
      </c>
      <c r="M102" s="24" t="str">
        <f t="shared" si="15"/>
        <v/>
      </c>
      <c r="N102" s="24" t="str">
        <f>IF($B102="","",$F102*'DATA PHÍ &amp; SẢN PHẨM'!$B$4)</f>
        <v/>
      </c>
      <c r="O102" s="24" t="str">
        <f>IF($B102="","",'DATA PHÍ &amp; SẢN PHẨM'!$B$5)</f>
        <v/>
      </c>
      <c r="P102" s="24" t="str">
        <f t="shared" si="16"/>
        <v/>
      </c>
      <c r="Q102" s="25" t="str">
        <f t="shared" si="17"/>
        <v/>
      </c>
      <c r="R102" s="26" t="str">
        <f t="shared" si="18"/>
        <v/>
      </c>
      <c r="S102" s="27" t="str">
        <f t="shared" si="19"/>
        <v/>
      </c>
      <c r="T102" s="28" t="str">
        <f t="shared" si="20"/>
        <v/>
      </c>
      <c r="U102" s="19"/>
    </row>
    <row r="103" spans="1:21" ht="16.05" customHeight="1">
      <c r="A103" s="18"/>
      <c r="B103" s="19"/>
      <c r="C103" s="19"/>
      <c r="D103" s="20"/>
      <c r="E103" s="20"/>
      <c r="F103" s="21" t="str">
        <f t="shared" si="14"/>
        <v/>
      </c>
      <c r="G103" s="21" t="str">
        <f>IF($B103="","",IFERROR(INDEX('DATA PHÍ &amp; SẢN PHẨM'!$M$13:$M$200,MATCH($B103,'DATA PHÍ &amp; SẢN PHẨM'!$L$13:$L$200,0)),0))</f>
        <v/>
      </c>
      <c r="H103" s="22"/>
      <c r="I103" s="20"/>
      <c r="J103" s="20"/>
      <c r="K103" s="23" t="str">
        <f>IF($B103="","",IFERROR(INDEX('DATA PHÍ &amp; SẢN PHẨM'!$F$13:$F$200,MATCH($B103,'DATA PHÍ &amp; SẢN PHẨM'!$L$13:$L$200,0)),0))</f>
        <v/>
      </c>
      <c r="L103" s="23" t="str">
        <f>IF($B103="","",IFERROR(INDEX('DATA PHÍ &amp; SẢN PHẨM'!$G$13:$G$200,MATCH($B103,'DATA PHÍ &amp; SẢN PHẨM'!$L$13:$L$200,0)),0))</f>
        <v/>
      </c>
      <c r="M103" s="24" t="str">
        <f t="shared" si="15"/>
        <v/>
      </c>
      <c r="N103" s="24" t="str">
        <f>IF($B103="","",$F103*'DATA PHÍ &amp; SẢN PHẨM'!$B$4)</f>
        <v/>
      </c>
      <c r="O103" s="24" t="str">
        <f>IF($B103="","",'DATA PHÍ &amp; SẢN PHẨM'!$B$5)</f>
        <v/>
      </c>
      <c r="P103" s="24" t="str">
        <f t="shared" si="16"/>
        <v/>
      </c>
      <c r="Q103" s="25" t="str">
        <f t="shared" si="17"/>
        <v/>
      </c>
      <c r="R103" s="26" t="str">
        <f t="shared" si="18"/>
        <v/>
      </c>
      <c r="S103" s="27" t="str">
        <f t="shared" si="19"/>
        <v/>
      </c>
      <c r="T103" s="28" t="str">
        <f t="shared" si="20"/>
        <v/>
      </c>
      <c r="U103" s="19"/>
    </row>
    <row r="104" spans="1:21" ht="16.05" customHeight="1">
      <c r="A104" s="18"/>
      <c r="B104" s="19"/>
      <c r="C104" s="19"/>
      <c r="D104" s="20"/>
      <c r="E104" s="20"/>
      <c r="F104" s="21" t="str">
        <f t="shared" si="14"/>
        <v/>
      </c>
      <c r="G104" s="21" t="str">
        <f>IF($B104="","",IFERROR(INDEX('DATA PHÍ &amp; SẢN PHẨM'!$M$13:$M$200,MATCH($B104,'DATA PHÍ &amp; SẢN PHẨM'!$L$13:$L$200,0)),0))</f>
        <v/>
      </c>
      <c r="H104" s="22"/>
      <c r="I104" s="20"/>
      <c r="J104" s="20"/>
      <c r="K104" s="23" t="str">
        <f>IF($B104="","",IFERROR(INDEX('DATA PHÍ &amp; SẢN PHẨM'!$F$13:$F$200,MATCH($B104,'DATA PHÍ &amp; SẢN PHẨM'!$L$13:$L$200,0)),0))</f>
        <v/>
      </c>
      <c r="L104" s="23" t="str">
        <f>IF($B104="","",IFERROR(INDEX('DATA PHÍ &amp; SẢN PHẨM'!$G$13:$G$200,MATCH($B104,'DATA PHÍ &amp; SẢN PHẨM'!$L$13:$L$200,0)),0))</f>
        <v/>
      </c>
      <c r="M104" s="24" t="str">
        <f t="shared" si="15"/>
        <v/>
      </c>
      <c r="N104" s="24" t="str">
        <f>IF($B104="","",$F104*'DATA PHÍ &amp; SẢN PHẨM'!$B$4)</f>
        <v/>
      </c>
      <c r="O104" s="24" t="str">
        <f>IF($B104="","",'DATA PHÍ &amp; SẢN PHẨM'!$B$5)</f>
        <v/>
      </c>
      <c r="P104" s="24" t="str">
        <f t="shared" si="16"/>
        <v/>
      </c>
      <c r="Q104" s="25" t="str">
        <f t="shared" si="17"/>
        <v/>
      </c>
      <c r="R104" s="26" t="str">
        <f t="shared" si="18"/>
        <v/>
      </c>
      <c r="S104" s="27" t="str">
        <f t="shared" si="19"/>
        <v/>
      </c>
      <c r="T104" s="28" t="str">
        <f t="shared" si="20"/>
        <v/>
      </c>
      <c r="U104" s="19"/>
    </row>
    <row r="105" spans="1:21" ht="16.05" customHeight="1">
      <c r="A105" s="18"/>
      <c r="B105" s="19"/>
      <c r="C105" s="19"/>
      <c r="D105" s="20"/>
      <c r="E105" s="20"/>
      <c r="F105" s="21" t="str">
        <f t="shared" si="14"/>
        <v/>
      </c>
      <c r="G105" s="21" t="str">
        <f>IF($B105="","",IFERROR(INDEX('DATA PHÍ &amp; SẢN PHẨM'!$M$13:$M$200,MATCH($B105,'DATA PHÍ &amp; SẢN PHẨM'!$L$13:$L$200,0)),0))</f>
        <v/>
      </c>
      <c r="H105" s="22"/>
      <c r="I105" s="20"/>
      <c r="J105" s="20"/>
      <c r="K105" s="23" t="str">
        <f>IF($B105="","",IFERROR(INDEX('DATA PHÍ &amp; SẢN PHẨM'!$F$13:$F$200,MATCH($B105,'DATA PHÍ &amp; SẢN PHẨM'!$L$13:$L$200,0)),0))</f>
        <v/>
      </c>
      <c r="L105" s="23" t="str">
        <f>IF($B105="","",IFERROR(INDEX('DATA PHÍ &amp; SẢN PHẨM'!$G$13:$G$200,MATCH($B105,'DATA PHÍ &amp; SẢN PHẨM'!$L$13:$L$200,0)),0))</f>
        <v/>
      </c>
      <c r="M105" s="24" t="str">
        <f t="shared" si="15"/>
        <v/>
      </c>
      <c r="N105" s="24" t="str">
        <f>IF($B105="","",$F105*'DATA PHÍ &amp; SẢN PHẨM'!$B$4)</f>
        <v/>
      </c>
      <c r="O105" s="24" t="str">
        <f>IF($B105="","",'DATA PHÍ &amp; SẢN PHẨM'!$B$5)</f>
        <v/>
      </c>
      <c r="P105" s="24" t="str">
        <f t="shared" si="16"/>
        <v/>
      </c>
      <c r="Q105" s="25" t="str">
        <f t="shared" si="17"/>
        <v/>
      </c>
      <c r="R105" s="26" t="str">
        <f t="shared" si="18"/>
        <v/>
      </c>
      <c r="S105" s="27" t="str">
        <f t="shared" si="19"/>
        <v/>
      </c>
      <c r="T105" s="28" t="str">
        <f t="shared" si="20"/>
        <v/>
      </c>
      <c r="U105" s="19"/>
    </row>
    <row r="106" spans="1:21" ht="16.05" customHeight="1">
      <c r="A106" s="18"/>
      <c r="B106" s="19"/>
      <c r="C106" s="19"/>
      <c r="D106" s="20"/>
      <c r="E106" s="20"/>
      <c r="F106" s="21" t="str">
        <f t="shared" si="14"/>
        <v/>
      </c>
      <c r="G106" s="21" t="str">
        <f>IF($B106="","",IFERROR(INDEX('DATA PHÍ &amp; SẢN PHẨM'!$M$13:$M$200,MATCH($B106,'DATA PHÍ &amp; SẢN PHẨM'!$L$13:$L$200,0)),0))</f>
        <v/>
      </c>
      <c r="H106" s="22"/>
      <c r="I106" s="20"/>
      <c r="J106" s="20"/>
      <c r="K106" s="23" t="str">
        <f>IF($B106="","",IFERROR(INDEX('DATA PHÍ &amp; SẢN PHẨM'!$F$13:$F$200,MATCH($B106,'DATA PHÍ &amp; SẢN PHẨM'!$L$13:$L$200,0)),0))</f>
        <v/>
      </c>
      <c r="L106" s="23" t="str">
        <f>IF($B106="","",IFERROR(INDEX('DATA PHÍ &amp; SẢN PHẨM'!$G$13:$G$200,MATCH($B106,'DATA PHÍ &amp; SẢN PHẨM'!$L$13:$L$200,0)),0))</f>
        <v/>
      </c>
      <c r="M106" s="24" t="str">
        <f t="shared" si="15"/>
        <v/>
      </c>
      <c r="N106" s="24" t="str">
        <f>IF($B106="","",$F106*'DATA PHÍ &amp; SẢN PHẨM'!$B$4)</f>
        <v/>
      </c>
      <c r="O106" s="24" t="str">
        <f>IF($B106="","",'DATA PHÍ &amp; SẢN PHẨM'!$B$5)</f>
        <v/>
      </c>
      <c r="P106" s="24" t="str">
        <f t="shared" si="16"/>
        <v/>
      </c>
      <c r="Q106" s="25" t="str">
        <f t="shared" si="17"/>
        <v/>
      </c>
      <c r="R106" s="26" t="str">
        <f t="shared" si="18"/>
        <v/>
      </c>
      <c r="S106" s="27" t="str">
        <f t="shared" si="19"/>
        <v/>
      </c>
      <c r="T106" s="28" t="str">
        <f t="shared" si="20"/>
        <v/>
      </c>
      <c r="U106" s="19"/>
    </row>
    <row r="107" spans="1:21" ht="16.05" customHeight="1">
      <c r="A107" s="18"/>
      <c r="B107" s="19"/>
      <c r="C107" s="19"/>
      <c r="D107" s="20"/>
      <c r="E107" s="20"/>
      <c r="F107" s="21" t="str">
        <f t="shared" ref="F107:F138" si="21">IF($B107="","",$D107-$E107)</f>
        <v/>
      </c>
      <c r="G107" s="21" t="str">
        <f>IF($B107="","",IFERROR(INDEX('DATA PHÍ &amp; SẢN PHẨM'!$M$13:$M$200,MATCH($B107,'DATA PHÍ &amp; SẢN PHẨM'!$L$13:$L$200,0)),0))</f>
        <v/>
      </c>
      <c r="H107" s="22"/>
      <c r="I107" s="20"/>
      <c r="J107" s="20"/>
      <c r="K107" s="23" t="str">
        <f>IF($B107="","",IFERROR(INDEX('DATA PHÍ &amp; SẢN PHẨM'!$F$13:$F$200,MATCH($B107,'DATA PHÍ &amp; SẢN PHẨM'!$L$13:$L$200,0)),0))</f>
        <v/>
      </c>
      <c r="L107" s="23" t="str">
        <f>IF($B107="","",IFERROR(INDEX('DATA PHÍ &amp; SẢN PHẨM'!$G$13:$G$200,MATCH($B107,'DATA PHÍ &amp; SẢN PHẨM'!$L$13:$L$200,0)),0))</f>
        <v/>
      </c>
      <c r="M107" s="24" t="str">
        <f t="shared" ref="M107:M138" si="22">IF($B107="","",$F107*IF($C107="Mall",$L107,$K107))</f>
        <v/>
      </c>
      <c r="N107" s="24" t="str">
        <f>IF($B107="","",$F107*'DATA PHÍ &amp; SẢN PHẨM'!$B$4)</f>
        <v/>
      </c>
      <c r="O107" s="24" t="str">
        <f>IF($B107="","",'DATA PHÍ &amp; SẢN PHẨM'!$B$5)</f>
        <v/>
      </c>
      <c r="P107" s="24" t="str">
        <f t="shared" ref="P107:P138" si="23">IF($B107="","",SUM(M107:O107))</f>
        <v/>
      </c>
      <c r="Q107" s="25" t="str">
        <f t="shared" ref="Q107:Q138" si="24">IF($B107="","",SUM(G107,I107,J107,P107)+($F107*$H107))</f>
        <v/>
      </c>
      <c r="R107" s="26" t="str">
        <f t="shared" ref="R107:R138" si="25">IF($B107="","",$F107-$Q107)</f>
        <v/>
      </c>
      <c r="S107" s="27" t="str">
        <f t="shared" ref="S107:S138" si="26">IF($B107="","",IFERROR($R107/$F107,0))</f>
        <v/>
      </c>
      <c r="T107" s="28" t="str">
        <f t="shared" ref="T107:T138" si="27">IF($B107="","",IF($R107&lt;0,"LỖ",IF($S107&lt;0.05,"RẤT NGUY HIỂM",IF($S107&lt;0.1,"LÃI THẤP",IF($S107&lt;0.2,"ỔN","TỐT")))))</f>
        <v/>
      </c>
      <c r="U107" s="19"/>
    </row>
    <row r="108" spans="1:21" ht="16.05" customHeight="1">
      <c r="A108" s="18"/>
      <c r="B108" s="19"/>
      <c r="C108" s="19"/>
      <c r="D108" s="20"/>
      <c r="E108" s="20"/>
      <c r="F108" s="21" t="str">
        <f t="shared" si="21"/>
        <v/>
      </c>
      <c r="G108" s="21" t="str">
        <f>IF($B108="","",IFERROR(INDEX('DATA PHÍ &amp; SẢN PHẨM'!$M$13:$M$200,MATCH($B108,'DATA PHÍ &amp; SẢN PHẨM'!$L$13:$L$200,0)),0))</f>
        <v/>
      </c>
      <c r="H108" s="22"/>
      <c r="I108" s="20"/>
      <c r="J108" s="20"/>
      <c r="K108" s="23" t="str">
        <f>IF($B108="","",IFERROR(INDEX('DATA PHÍ &amp; SẢN PHẨM'!$F$13:$F$200,MATCH($B108,'DATA PHÍ &amp; SẢN PHẨM'!$L$13:$L$200,0)),0))</f>
        <v/>
      </c>
      <c r="L108" s="23" t="str">
        <f>IF($B108="","",IFERROR(INDEX('DATA PHÍ &amp; SẢN PHẨM'!$G$13:$G$200,MATCH($B108,'DATA PHÍ &amp; SẢN PHẨM'!$L$13:$L$200,0)),0))</f>
        <v/>
      </c>
      <c r="M108" s="24" t="str">
        <f t="shared" si="22"/>
        <v/>
      </c>
      <c r="N108" s="24" t="str">
        <f>IF($B108="","",$F108*'DATA PHÍ &amp; SẢN PHẨM'!$B$4)</f>
        <v/>
      </c>
      <c r="O108" s="24" t="str">
        <f>IF($B108="","",'DATA PHÍ &amp; SẢN PHẨM'!$B$5)</f>
        <v/>
      </c>
      <c r="P108" s="24" t="str">
        <f t="shared" si="23"/>
        <v/>
      </c>
      <c r="Q108" s="25" t="str">
        <f t="shared" si="24"/>
        <v/>
      </c>
      <c r="R108" s="26" t="str">
        <f t="shared" si="25"/>
        <v/>
      </c>
      <c r="S108" s="27" t="str">
        <f t="shared" si="26"/>
        <v/>
      </c>
      <c r="T108" s="28" t="str">
        <f t="shared" si="27"/>
        <v/>
      </c>
      <c r="U108" s="19"/>
    </row>
    <row r="109" spans="1:21" ht="16.05" customHeight="1">
      <c r="A109" s="18"/>
      <c r="B109" s="19"/>
      <c r="C109" s="19"/>
      <c r="D109" s="20"/>
      <c r="E109" s="20"/>
      <c r="F109" s="21" t="str">
        <f t="shared" si="21"/>
        <v/>
      </c>
      <c r="G109" s="21" t="str">
        <f>IF($B109="","",IFERROR(INDEX('DATA PHÍ &amp; SẢN PHẨM'!$M$13:$M$200,MATCH($B109,'DATA PHÍ &amp; SẢN PHẨM'!$L$13:$L$200,0)),0))</f>
        <v/>
      </c>
      <c r="H109" s="22"/>
      <c r="I109" s="20"/>
      <c r="J109" s="20"/>
      <c r="K109" s="23" t="str">
        <f>IF($B109="","",IFERROR(INDEX('DATA PHÍ &amp; SẢN PHẨM'!$F$13:$F$200,MATCH($B109,'DATA PHÍ &amp; SẢN PHẨM'!$L$13:$L$200,0)),0))</f>
        <v/>
      </c>
      <c r="L109" s="23" t="str">
        <f>IF($B109="","",IFERROR(INDEX('DATA PHÍ &amp; SẢN PHẨM'!$G$13:$G$200,MATCH($B109,'DATA PHÍ &amp; SẢN PHẨM'!$L$13:$L$200,0)),0))</f>
        <v/>
      </c>
      <c r="M109" s="24" t="str">
        <f t="shared" si="22"/>
        <v/>
      </c>
      <c r="N109" s="24" t="str">
        <f>IF($B109="","",$F109*'DATA PHÍ &amp; SẢN PHẨM'!$B$4)</f>
        <v/>
      </c>
      <c r="O109" s="24" t="str">
        <f>IF($B109="","",'DATA PHÍ &amp; SẢN PHẨM'!$B$5)</f>
        <v/>
      </c>
      <c r="P109" s="24" t="str">
        <f t="shared" si="23"/>
        <v/>
      </c>
      <c r="Q109" s="25" t="str">
        <f t="shared" si="24"/>
        <v/>
      </c>
      <c r="R109" s="26" t="str">
        <f t="shared" si="25"/>
        <v/>
      </c>
      <c r="S109" s="27" t="str">
        <f t="shared" si="26"/>
        <v/>
      </c>
      <c r="T109" s="28" t="str">
        <f t="shared" si="27"/>
        <v/>
      </c>
      <c r="U109" s="19"/>
    </row>
    <row r="110" spans="1:21" ht="16.05" customHeight="1">
      <c r="A110" s="18"/>
      <c r="B110" s="19"/>
      <c r="C110" s="19"/>
      <c r="D110" s="20"/>
      <c r="E110" s="20"/>
      <c r="F110" s="21" t="str">
        <f t="shared" si="21"/>
        <v/>
      </c>
      <c r="G110" s="21" t="str">
        <f>IF($B110="","",IFERROR(INDEX('DATA PHÍ &amp; SẢN PHẨM'!$M$13:$M$200,MATCH($B110,'DATA PHÍ &amp; SẢN PHẨM'!$L$13:$L$200,0)),0))</f>
        <v/>
      </c>
      <c r="H110" s="22"/>
      <c r="I110" s="20"/>
      <c r="J110" s="20"/>
      <c r="K110" s="23" t="str">
        <f>IF($B110="","",IFERROR(INDEX('DATA PHÍ &amp; SẢN PHẨM'!$F$13:$F$200,MATCH($B110,'DATA PHÍ &amp; SẢN PHẨM'!$L$13:$L$200,0)),0))</f>
        <v/>
      </c>
      <c r="L110" s="23" t="str">
        <f>IF($B110="","",IFERROR(INDEX('DATA PHÍ &amp; SẢN PHẨM'!$G$13:$G$200,MATCH($B110,'DATA PHÍ &amp; SẢN PHẨM'!$L$13:$L$200,0)),0))</f>
        <v/>
      </c>
      <c r="M110" s="24" t="str">
        <f t="shared" si="22"/>
        <v/>
      </c>
      <c r="N110" s="24" t="str">
        <f>IF($B110="","",$F110*'DATA PHÍ &amp; SẢN PHẨM'!$B$4)</f>
        <v/>
      </c>
      <c r="O110" s="24" t="str">
        <f>IF($B110="","",'DATA PHÍ &amp; SẢN PHẨM'!$B$5)</f>
        <v/>
      </c>
      <c r="P110" s="24" t="str">
        <f t="shared" si="23"/>
        <v/>
      </c>
      <c r="Q110" s="25" t="str">
        <f t="shared" si="24"/>
        <v/>
      </c>
      <c r="R110" s="26" t="str">
        <f t="shared" si="25"/>
        <v/>
      </c>
      <c r="S110" s="27" t="str">
        <f t="shared" si="26"/>
        <v/>
      </c>
      <c r="T110" s="28" t="str">
        <f t="shared" si="27"/>
        <v/>
      </c>
      <c r="U110" s="19"/>
    </row>
    <row r="111" spans="1:21" ht="16.05" customHeight="1">
      <c r="A111" s="18"/>
      <c r="B111" s="19"/>
      <c r="C111" s="19"/>
      <c r="D111" s="20"/>
      <c r="E111" s="20"/>
      <c r="F111" s="21" t="str">
        <f t="shared" si="21"/>
        <v/>
      </c>
      <c r="G111" s="21" t="str">
        <f>IF($B111="","",IFERROR(INDEX('DATA PHÍ &amp; SẢN PHẨM'!$M$13:$M$200,MATCH($B111,'DATA PHÍ &amp; SẢN PHẨM'!$L$13:$L$200,0)),0))</f>
        <v/>
      </c>
      <c r="H111" s="22"/>
      <c r="I111" s="20"/>
      <c r="J111" s="20"/>
      <c r="K111" s="23" t="str">
        <f>IF($B111="","",IFERROR(INDEX('DATA PHÍ &amp; SẢN PHẨM'!$F$13:$F$200,MATCH($B111,'DATA PHÍ &amp; SẢN PHẨM'!$L$13:$L$200,0)),0))</f>
        <v/>
      </c>
      <c r="L111" s="23" t="str">
        <f>IF($B111="","",IFERROR(INDEX('DATA PHÍ &amp; SẢN PHẨM'!$G$13:$G$200,MATCH($B111,'DATA PHÍ &amp; SẢN PHẨM'!$L$13:$L$200,0)),0))</f>
        <v/>
      </c>
      <c r="M111" s="24" t="str">
        <f t="shared" si="22"/>
        <v/>
      </c>
      <c r="N111" s="24" t="str">
        <f>IF($B111="","",$F111*'DATA PHÍ &amp; SẢN PHẨM'!$B$4)</f>
        <v/>
      </c>
      <c r="O111" s="24" t="str">
        <f>IF($B111="","",'DATA PHÍ &amp; SẢN PHẨM'!$B$5)</f>
        <v/>
      </c>
      <c r="P111" s="24" t="str">
        <f t="shared" si="23"/>
        <v/>
      </c>
      <c r="Q111" s="25" t="str">
        <f t="shared" si="24"/>
        <v/>
      </c>
      <c r="R111" s="26" t="str">
        <f t="shared" si="25"/>
        <v/>
      </c>
      <c r="S111" s="27" t="str">
        <f t="shared" si="26"/>
        <v/>
      </c>
      <c r="T111" s="28" t="str">
        <f t="shared" si="27"/>
        <v/>
      </c>
      <c r="U111" s="19"/>
    </row>
    <row r="112" spans="1:21" ht="16.05" customHeight="1">
      <c r="A112" s="18"/>
      <c r="B112" s="19"/>
      <c r="C112" s="19"/>
      <c r="D112" s="20"/>
      <c r="E112" s="20"/>
      <c r="F112" s="21" t="str">
        <f t="shared" si="21"/>
        <v/>
      </c>
      <c r="G112" s="21" t="str">
        <f>IF($B112="","",IFERROR(INDEX('DATA PHÍ &amp; SẢN PHẨM'!$M$13:$M$200,MATCH($B112,'DATA PHÍ &amp; SẢN PHẨM'!$L$13:$L$200,0)),0))</f>
        <v/>
      </c>
      <c r="H112" s="22"/>
      <c r="I112" s="20"/>
      <c r="J112" s="20"/>
      <c r="K112" s="23" t="str">
        <f>IF($B112="","",IFERROR(INDEX('DATA PHÍ &amp; SẢN PHẨM'!$F$13:$F$200,MATCH($B112,'DATA PHÍ &amp; SẢN PHẨM'!$L$13:$L$200,0)),0))</f>
        <v/>
      </c>
      <c r="L112" s="23" t="str">
        <f>IF($B112="","",IFERROR(INDEX('DATA PHÍ &amp; SẢN PHẨM'!$G$13:$G$200,MATCH($B112,'DATA PHÍ &amp; SẢN PHẨM'!$L$13:$L$200,0)),0))</f>
        <v/>
      </c>
      <c r="M112" s="24" t="str">
        <f t="shared" si="22"/>
        <v/>
      </c>
      <c r="N112" s="24" t="str">
        <f>IF($B112="","",$F112*'DATA PHÍ &amp; SẢN PHẨM'!$B$4)</f>
        <v/>
      </c>
      <c r="O112" s="24" t="str">
        <f>IF($B112="","",'DATA PHÍ &amp; SẢN PHẨM'!$B$5)</f>
        <v/>
      </c>
      <c r="P112" s="24" t="str">
        <f t="shared" si="23"/>
        <v/>
      </c>
      <c r="Q112" s="25" t="str">
        <f t="shared" si="24"/>
        <v/>
      </c>
      <c r="R112" s="26" t="str">
        <f t="shared" si="25"/>
        <v/>
      </c>
      <c r="S112" s="27" t="str">
        <f t="shared" si="26"/>
        <v/>
      </c>
      <c r="T112" s="28" t="str">
        <f t="shared" si="27"/>
        <v/>
      </c>
      <c r="U112" s="19"/>
    </row>
    <row r="113" spans="1:21" ht="16.05" customHeight="1">
      <c r="A113" s="18"/>
      <c r="B113" s="19"/>
      <c r="C113" s="19"/>
      <c r="D113" s="20"/>
      <c r="E113" s="20"/>
      <c r="F113" s="21" t="str">
        <f t="shared" si="21"/>
        <v/>
      </c>
      <c r="G113" s="21" t="str">
        <f>IF($B113="","",IFERROR(INDEX('DATA PHÍ &amp; SẢN PHẨM'!$M$13:$M$200,MATCH($B113,'DATA PHÍ &amp; SẢN PHẨM'!$L$13:$L$200,0)),0))</f>
        <v/>
      </c>
      <c r="H113" s="22"/>
      <c r="I113" s="20"/>
      <c r="J113" s="20"/>
      <c r="K113" s="23" t="str">
        <f>IF($B113="","",IFERROR(INDEX('DATA PHÍ &amp; SẢN PHẨM'!$F$13:$F$200,MATCH($B113,'DATA PHÍ &amp; SẢN PHẨM'!$L$13:$L$200,0)),0))</f>
        <v/>
      </c>
      <c r="L113" s="23" t="str">
        <f>IF($B113="","",IFERROR(INDEX('DATA PHÍ &amp; SẢN PHẨM'!$G$13:$G$200,MATCH($B113,'DATA PHÍ &amp; SẢN PHẨM'!$L$13:$L$200,0)),0))</f>
        <v/>
      </c>
      <c r="M113" s="24" t="str">
        <f t="shared" si="22"/>
        <v/>
      </c>
      <c r="N113" s="24" t="str">
        <f>IF($B113="","",$F113*'DATA PHÍ &amp; SẢN PHẨM'!$B$4)</f>
        <v/>
      </c>
      <c r="O113" s="24" t="str">
        <f>IF($B113="","",'DATA PHÍ &amp; SẢN PHẨM'!$B$5)</f>
        <v/>
      </c>
      <c r="P113" s="24" t="str">
        <f t="shared" si="23"/>
        <v/>
      </c>
      <c r="Q113" s="25" t="str">
        <f t="shared" si="24"/>
        <v/>
      </c>
      <c r="R113" s="26" t="str">
        <f t="shared" si="25"/>
        <v/>
      </c>
      <c r="S113" s="27" t="str">
        <f t="shared" si="26"/>
        <v/>
      </c>
      <c r="T113" s="28" t="str">
        <f t="shared" si="27"/>
        <v/>
      </c>
      <c r="U113" s="19"/>
    </row>
    <row r="114" spans="1:21" ht="16.05" customHeight="1">
      <c r="A114" s="18"/>
      <c r="B114" s="19"/>
      <c r="C114" s="19"/>
      <c r="D114" s="20"/>
      <c r="E114" s="20"/>
      <c r="F114" s="21" t="str">
        <f t="shared" si="21"/>
        <v/>
      </c>
      <c r="G114" s="21" t="str">
        <f>IF($B114="","",IFERROR(INDEX('DATA PHÍ &amp; SẢN PHẨM'!$M$13:$M$200,MATCH($B114,'DATA PHÍ &amp; SẢN PHẨM'!$L$13:$L$200,0)),0))</f>
        <v/>
      </c>
      <c r="H114" s="22"/>
      <c r="I114" s="20"/>
      <c r="J114" s="20"/>
      <c r="K114" s="23" t="str">
        <f>IF($B114="","",IFERROR(INDEX('DATA PHÍ &amp; SẢN PHẨM'!$F$13:$F$200,MATCH($B114,'DATA PHÍ &amp; SẢN PHẨM'!$L$13:$L$200,0)),0))</f>
        <v/>
      </c>
      <c r="L114" s="23" t="str">
        <f>IF($B114="","",IFERROR(INDEX('DATA PHÍ &amp; SẢN PHẨM'!$G$13:$G$200,MATCH($B114,'DATA PHÍ &amp; SẢN PHẨM'!$L$13:$L$200,0)),0))</f>
        <v/>
      </c>
      <c r="M114" s="24" t="str">
        <f t="shared" si="22"/>
        <v/>
      </c>
      <c r="N114" s="24" t="str">
        <f>IF($B114="","",$F114*'DATA PHÍ &amp; SẢN PHẨM'!$B$4)</f>
        <v/>
      </c>
      <c r="O114" s="24" t="str">
        <f>IF($B114="","",'DATA PHÍ &amp; SẢN PHẨM'!$B$5)</f>
        <v/>
      </c>
      <c r="P114" s="24" t="str">
        <f t="shared" si="23"/>
        <v/>
      </c>
      <c r="Q114" s="25" t="str">
        <f t="shared" si="24"/>
        <v/>
      </c>
      <c r="R114" s="26" t="str">
        <f t="shared" si="25"/>
        <v/>
      </c>
      <c r="S114" s="27" t="str">
        <f t="shared" si="26"/>
        <v/>
      </c>
      <c r="T114" s="28" t="str">
        <f t="shared" si="27"/>
        <v/>
      </c>
      <c r="U114" s="19"/>
    </row>
    <row r="115" spans="1:21" ht="16.05" customHeight="1">
      <c r="A115" s="18"/>
      <c r="B115" s="19"/>
      <c r="C115" s="19"/>
      <c r="D115" s="20"/>
      <c r="E115" s="20"/>
      <c r="F115" s="21" t="str">
        <f t="shared" si="21"/>
        <v/>
      </c>
      <c r="G115" s="21" t="str">
        <f>IF($B115="","",IFERROR(INDEX('DATA PHÍ &amp; SẢN PHẨM'!$M$13:$M$200,MATCH($B115,'DATA PHÍ &amp; SẢN PHẨM'!$L$13:$L$200,0)),0))</f>
        <v/>
      </c>
      <c r="H115" s="22"/>
      <c r="I115" s="20"/>
      <c r="J115" s="20"/>
      <c r="K115" s="23" t="str">
        <f>IF($B115="","",IFERROR(INDEX('DATA PHÍ &amp; SẢN PHẨM'!$F$13:$F$200,MATCH($B115,'DATA PHÍ &amp; SẢN PHẨM'!$L$13:$L$200,0)),0))</f>
        <v/>
      </c>
      <c r="L115" s="23" t="str">
        <f>IF($B115="","",IFERROR(INDEX('DATA PHÍ &amp; SẢN PHẨM'!$G$13:$G$200,MATCH($B115,'DATA PHÍ &amp; SẢN PHẨM'!$L$13:$L$200,0)),0))</f>
        <v/>
      </c>
      <c r="M115" s="24" t="str">
        <f t="shared" si="22"/>
        <v/>
      </c>
      <c r="N115" s="24" t="str">
        <f>IF($B115="","",$F115*'DATA PHÍ &amp; SẢN PHẨM'!$B$4)</f>
        <v/>
      </c>
      <c r="O115" s="24" t="str">
        <f>IF($B115="","",'DATA PHÍ &amp; SẢN PHẨM'!$B$5)</f>
        <v/>
      </c>
      <c r="P115" s="24" t="str">
        <f t="shared" si="23"/>
        <v/>
      </c>
      <c r="Q115" s="25" t="str">
        <f t="shared" si="24"/>
        <v/>
      </c>
      <c r="R115" s="26" t="str">
        <f t="shared" si="25"/>
        <v/>
      </c>
      <c r="S115" s="27" t="str">
        <f t="shared" si="26"/>
        <v/>
      </c>
      <c r="T115" s="28" t="str">
        <f t="shared" si="27"/>
        <v/>
      </c>
      <c r="U115" s="19"/>
    </row>
    <row r="116" spans="1:21" ht="16.05" customHeight="1">
      <c r="A116" s="18"/>
      <c r="B116" s="19"/>
      <c r="C116" s="19"/>
      <c r="D116" s="20"/>
      <c r="E116" s="20"/>
      <c r="F116" s="21" t="str">
        <f t="shared" si="21"/>
        <v/>
      </c>
      <c r="G116" s="21" t="str">
        <f>IF($B116="","",IFERROR(INDEX('DATA PHÍ &amp; SẢN PHẨM'!$M$13:$M$200,MATCH($B116,'DATA PHÍ &amp; SẢN PHẨM'!$L$13:$L$200,0)),0))</f>
        <v/>
      </c>
      <c r="H116" s="22"/>
      <c r="I116" s="20"/>
      <c r="J116" s="20"/>
      <c r="K116" s="23" t="str">
        <f>IF($B116="","",IFERROR(INDEX('DATA PHÍ &amp; SẢN PHẨM'!$F$13:$F$200,MATCH($B116,'DATA PHÍ &amp; SẢN PHẨM'!$L$13:$L$200,0)),0))</f>
        <v/>
      </c>
      <c r="L116" s="23" t="str">
        <f>IF($B116="","",IFERROR(INDEX('DATA PHÍ &amp; SẢN PHẨM'!$G$13:$G$200,MATCH($B116,'DATA PHÍ &amp; SẢN PHẨM'!$L$13:$L$200,0)),0))</f>
        <v/>
      </c>
      <c r="M116" s="24" t="str">
        <f t="shared" si="22"/>
        <v/>
      </c>
      <c r="N116" s="24" t="str">
        <f>IF($B116="","",$F116*'DATA PHÍ &amp; SẢN PHẨM'!$B$4)</f>
        <v/>
      </c>
      <c r="O116" s="24" t="str">
        <f>IF($B116="","",'DATA PHÍ &amp; SẢN PHẨM'!$B$5)</f>
        <v/>
      </c>
      <c r="P116" s="24" t="str">
        <f t="shared" si="23"/>
        <v/>
      </c>
      <c r="Q116" s="25" t="str">
        <f t="shared" si="24"/>
        <v/>
      </c>
      <c r="R116" s="26" t="str">
        <f t="shared" si="25"/>
        <v/>
      </c>
      <c r="S116" s="27" t="str">
        <f t="shared" si="26"/>
        <v/>
      </c>
      <c r="T116" s="28" t="str">
        <f t="shared" si="27"/>
        <v/>
      </c>
      <c r="U116" s="19"/>
    </row>
    <row r="117" spans="1:21" ht="16.05" customHeight="1">
      <c r="A117" s="18"/>
      <c r="B117" s="19"/>
      <c r="C117" s="19"/>
      <c r="D117" s="20"/>
      <c r="E117" s="20"/>
      <c r="F117" s="21" t="str">
        <f t="shared" si="21"/>
        <v/>
      </c>
      <c r="G117" s="21" t="str">
        <f>IF($B117="","",IFERROR(INDEX('DATA PHÍ &amp; SẢN PHẨM'!$M$13:$M$200,MATCH($B117,'DATA PHÍ &amp; SẢN PHẨM'!$L$13:$L$200,0)),0))</f>
        <v/>
      </c>
      <c r="H117" s="22"/>
      <c r="I117" s="20"/>
      <c r="J117" s="20"/>
      <c r="K117" s="23" t="str">
        <f>IF($B117="","",IFERROR(INDEX('DATA PHÍ &amp; SẢN PHẨM'!$F$13:$F$200,MATCH($B117,'DATA PHÍ &amp; SẢN PHẨM'!$L$13:$L$200,0)),0))</f>
        <v/>
      </c>
      <c r="L117" s="23" t="str">
        <f>IF($B117="","",IFERROR(INDEX('DATA PHÍ &amp; SẢN PHẨM'!$G$13:$G$200,MATCH($B117,'DATA PHÍ &amp; SẢN PHẨM'!$L$13:$L$200,0)),0))</f>
        <v/>
      </c>
      <c r="M117" s="24" t="str">
        <f t="shared" si="22"/>
        <v/>
      </c>
      <c r="N117" s="24" t="str">
        <f>IF($B117="","",$F117*'DATA PHÍ &amp; SẢN PHẨM'!$B$4)</f>
        <v/>
      </c>
      <c r="O117" s="24" t="str">
        <f>IF($B117="","",'DATA PHÍ &amp; SẢN PHẨM'!$B$5)</f>
        <v/>
      </c>
      <c r="P117" s="24" t="str">
        <f t="shared" si="23"/>
        <v/>
      </c>
      <c r="Q117" s="25" t="str">
        <f t="shared" si="24"/>
        <v/>
      </c>
      <c r="R117" s="26" t="str">
        <f t="shared" si="25"/>
        <v/>
      </c>
      <c r="S117" s="27" t="str">
        <f t="shared" si="26"/>
        <v/>
      </c>
      <c r="T117" s="28" t="str">
        <f t="shared" si="27"/>
        <v/>
      </c>
      <c r="U117" s="19"/>
    </row>
    <row r="118" spans="1:21" ht="16.05" customHeight="1">
      <c r="A118" s="18"/>
      <c r="B118" s="19"/>
      <c r="C118" s="19"/>
      <c r="D118" s="20"/>
      <c r="E118" s="20"/>
      <c r="F118" s="21" t="str">
        <f t="shared" si="21"/>
        <v/>
      </c>
      <c r="G118" s="21" t="str">
        <f>IF($B118="","",IFERROR(INDEX('DATA PHÍ &amp; SẢN PHẨM'!$M$13:$M$200,MATCH($B118,'DATA PHÍ &amp; SẢN PHẨM'!$L$13:$L$200,0)),0))</f>
        <v/>
      </c>
      <c r="H118" s="22"/>
      <c r="I118" s="20"/>
      <c r="J118" s="20"/>
      <c r="K118" s="23" t="str">
        <f>IF($B118="","",IFERROR(INDEX('DATA PHÍ &amp; SẢN PHẨM'!$F$13:$F$200,MATCH($B118,'DATA PHÍ &amp; SẢN PHẨM'!$L$13:$L$200,0)),0))</f>
        <v/>
      </c>
      <c r="L118" s="23" t="str">
        <f>IF($B118="","",IFERROR(INDEX('DATA PHÍ &amp; SẢN PHẨM'!$G$13:$G$200,MATCH($B118,'DATA PHÍ &amp; SẢN PHẨM'!$L$13:$L$200,0)),0))</f>
        <v/>
      </c>
      <c r="M118" s="24" t="str">
        <f t="shared" si="22"/>
        <v/>
      </c>
      <c r="N118" s="24" t="str">
        <f>IF($B118="","",$F118*'DATA PHÍ &amp; SẢN PHẨM'!$B$4)</f>
        <v/>
      </c>
      <c r="O118" s="24" t="str">
        <f>IF($B118="","",'DATA PHÍ &amp; SẢN PHẨM'!$B$5)</f>
        <v/>
      </c>
      <c r="P118" s="24" t="str">
        <f t="shared" si="23"/>
        <v/>
      </c>
      <c r="Q118" s="25" t="str">
        <f t="shared" si="24"/>
        <v/>
      </c>
      <c r="R118" s="26" t="str">
        <f t="shared" si="25"/>
        <v/>
      </c>
      <c r="S118" s="27" t="str">
        <f t="shared" si="26"/>
        <v/>
      </c>
      <c r="T118" s="28" t="str">
        <f t="shared" si="27"/>
        <v/>
      </c>
      <c r="U118" s="19"/>
    </row>
    <row r="119" spans="1:21" ht="16.05" customHeight="1">
      <c r="A119" s="18"/>
      <c r="B119" s="19"/>
      <c r="C119" s="19"/>
      <c r="D119" s="20"/>
      <c r="E119" s="20"/>
      <c r="F119" s="21" t="str">
        <f t="shared" si="21"/>
        <v/>
      </c>
      <c r="G119" s="21" t="str">
        <f>IF($B119="","",IFERROR(INDEX('DATA PHÍ &amp; SẢN PHẨM'!$M$13:$M$200,MATCH($B119,'DATA PHÍ &amp; SẢN PHẨM'!$L$13:$L$200,0)),0))</f>
        <v/>
      </c>
      <c r="H119" s="22"/>
      <c r="I119" s="20"/>
      <c r="J119" s="20"/>
      <c r="K119" s="23" t="str">
        <f>IF($B119="","",IFERROR(INDEX('DATA PHÍ &amp; SẢN PHẨM'!$F$13:$F$200,MATCH($B119,'DATA PHÍ &amp; SẢN PHẨM'!$L$13:$L$200,0)),0))</f>
        <v/>
      </c>
      <c r="L119" s="23" t="str">
        <f>IF($B119="","",IFERROR(INDEX('DATA PHÍ &amp; SẢN PHẨM'!$G$13:$G$200,MATCH($B119,'DATA PHÍ &amp; SẢN PHẨM'!$L$13:$L$200,0)),0))</f>
        <v/>
      </c>
      <c r="M119" s="24" t="str">
        <f t="shared" si="22"/>
        <v/>
      </c>
      <c r="N119" s="24" t="str">
        <f>IF($B119="","",$F119*'DATA PHÍ &amp; SẢN PHẨM'!$B$4)</f>
        <v/>
      </c>
      <c r="O119" s="24" t="str">
        <f>IF($B119="","",'DATA PHÍ &amp; SẢN PHẨM'!$B$5)</f>
        <v/>
      </c>
      <c r="P119" s="24" t="str">
        <f t="shared" si="23"/>
        <v/>
      </c>
      <c r="Q119" s="25" t="str">
        <f t="shared" si="24"/>
        <v/>
      </c>
      <c r="R119" s="26" t="str">
        <f t="shared" si="25"/>
        <v/>
      </c>
      <c r="S119" s="27" t="str">
        <f t="shared" si="26"/>
        <v/>
      </c>
      <c r="T119" s="28" t="str">
        <f t="shared" si="27"/>
        <v/>
      </c>
      <c r="U119" s="19"/>
    </row>
    <row r="120" spans="1:21" ht="16.05" customHeight="1">
      <c r="A120" s="18"/>
      <c r="B120" s="19"/>
      <c r="C120" s="19"/>
      <c r="D120" s="20"/>
      <c r="E120" s="20"/>
      <c r="F120" s="21" t="str">
        <f t="shared" si="21"/>
        <v/>
      </c>
      <c r="G120" s="21" t="str">
        <f>IF($B120="","",IFERROR(INDEX('DATA PHÍ &amp; SẢN PHẨM'!$M$13:$M$200,MATCH($B120,'DATA PHÍ &amp; SẢN PHẨM'!$L$13:$L$200,0)),0))</f>
        <v/>
      </c>
      <c r="H120" s="22"/>
      <c r="I120" s="20"/>
      <c r="J120" s="20"/>
      <c r="K120" s="23" t="str">
        <f>IF($B120="","",IFERROR(INDEX('DATA PHÍ &amp; SẢN PHẨM'!$F$13:$F$200,MATCH($B120,'DATA PHÍ &amp; SẢN PHẨM'!$L$13:$L$200,0)),0))</f>
        <v/>
      </c>
      <c r="L120" s="23" t="str">
        <f>IF($B120="","",IFERROR(INDEX('DATA PHÍ &amp; SẢN PHẨM'!$G$13:$G$200,MATCH($B120,'DATA PHÍ &amp; SẢN PHẨM'!$L$13:$L$200,0)),0))</f>
        <v/>
      </c>
      <c r="M120" s="24" t="str">
        <f t="shared" si="22"/>
        <v/>
      </c>
      <c r="N120" s="24" t="str">
        <f>IF($B120="","",$F120*'DATA PHÍ &amp; SẢN PHẨM'!$B$4)</f>
        <v/>
      </c>
      <c r="O120" s="24" t="str">
        <f>IF($B120="","",'DATA PHÍ &amp; SẢN PHẨM'!$B$5)</f>
        <v/>
      </c>
      <c r="P120" s="24" t="str">
        <f t="shared" si="23"/>
        <v/>
      </c>
      <c r="Q120" s="25" t="str">
        <f t="shared" si="24"/>
        <v/>
      </c>
      <c r="R120" s="26" t="str">
        <f t="shared" si="25"/>
        <v/>
      </c>
      <c r="S120" s="27" t="str">
        <f t="shared" si="26"/>
        <v/>
      </c>
      <c r="T120" s="28" t="str">
        <f t="shared" si="27"/>
        <v/>
      </c>
      <c r="U120" s="19"/>
    </row>
    <row r="121" spans="1:21" ht="16.05" customHeight="1">
      <c r="A121" s="18"/>
      <c r="B121" s="19"/>
      <c r="C121" s="19"/>
      <c r="D121" s="20"/>
      <c r="E121" s="20"/>
      <c r="F121" s="21" t="str">
        <f t="shared" si="21"/>
        <v/>
      </c>
      <c r="G121" s="21" t="str">
        <f>IF($B121="","",IFERROR(INDEX('DATA PHÍ &amp; SẢN PHẨM'!$M$13:$M$200,MATCH($B121,'DATA PHÍ &amp; SẢN PHẨM'!$L$13:$L$200,0)),0))</f>
        <v/>
      </c>
      <c r="H121" s="22"/>
      <c r="I121" s="20"/>
      <c r="J121" s="20"/>
      <c r="K121" s="23" t="str">
        <f>IF($B121="","",IFERROR(INDEX('DATA PHÍ &amp; SẢN PHẨM'!$F$13:$F$200,MATCH($B121,'DATA PHÍ &amp; SẢN PHẨM'!$L$13:$L$200,0)),0))</f>
        <v/>
      </c>
      <c r="L121" s="23" t="str">
        <f>IF($B121="","",IFERROR(INDEX('DATA PHÍ &amp; SẢN PHẨM'!$G$13:$G$200,MATCH($B121,'DATA PHÍ &amp; SẢN PHẨM'!$L$13:$L$200,0)),0))</f>
        <v/>
      </c>
      <c r="M121" s="24" t="str">
        <f t="shared" si="22"/>
        <v/>
      </c>
      <c r="N121" s="24" t="str">
        <f>IF($B121="","",$F121*'DATA PHÍ &amp; SẢN PHẨM'!$B$4)</f>
        <v/>
      </c>
      <c r="O121" s="24" t="str">
        <f>IF($B121="","",'DATA PHÍ &amp; SẢN PHẨM'!$B$5)</f>
        <v/>
      </c>
      <c r="P121" s="24" t="str">
        <f t="shared" si="23"/>
        <v/>
      </c>
      <c r="Q121" s="25" t="str">
        <f t="shared" si="24"/>
        <v/>
      </c>
      <c r="R121" s="26" t="str">
        <f t="shared" si="25"/>
        <v/>
      </c>
      <c r="S121" s="27" t="str">
        <f t="shared" si="26"/>
        <v/>
      </c>
      <c r="T121" s="28" t="str">
        <f t="shared" si="27"/>
        <v/>
      </c>
      <c r="U121" s="19"/>
    </row>
    <row r="122" spans="1:21" ht="16.05" customHeight="1">
      <c r="A122" s="18"/>
      <c r="B122" s="19"/>
      <c r="C122" s="19"/>
      <c r="D122" s="20"/>
      <c r="E122" s="20"/>
      <c r="F122" s="21" t="str">
        <f t="shared" si="21"/>
        <v/>
      </c>
      <c r="G122" s="21" t="str">
        <f>IF($B122="","",IFERROR(INDEX('DATA PHÍ &amp; SẢN PHẨM'!$M$13:$M$200,MATCH($B122,'DATA PHÍ &amp; SẢN PHẨM'!$L$13:$L$200,0)),0))</f>
        <v/>
      </c>
      <c r="H122" s="22"/>
      <c r="I122" s="20"/>
      <c r="J122" s="20"/>
      <c r="K122" s="23" t="str">
        <f>IF($B122="","",IFERROR(INDEX('DATA PHÍ &amp; SẢN PHẨM'!$F$13:$F$200,MATCH($B122,'DATA PHÍ &amp; SẢN PHẨM'!$L$13:$L$200,0)),0))</f>
        <v/>
      </c>
      <c r="L122" s="23" t="str">
        <f>IF($B122="","",IFERROR(INDEX('DATA PHÍ &amp; SẢN PHẨM'!$G$13:$G$200,MATCH($B122,'DATA PHÍ &amp; SẢN PHẨM'!$L$13:$L$200,0)),0))</f>
        <v/>
      </c>
      <c r="M122" s="24" t="str">
        <f t="shared" si="22"/>
        <v/>
      </c>
      <c r="N122" s="24" t="str">
        <f>IF($B122="","",$F122*'DATA PHÍ &amp; SẢN PHẨM'!$B$4)</f>
        <v/>
      </c>
      <c r="O122" s="24" t="str">
        <f>IF($B122="","",'DATA PHÍ &amp; SẢN PHẨM'!$B$5)</f>
        <v/>
      </c>
      <c r="P122" s="24" t="str">
        <f t="shared" si="23"/>
        <v/>
      </c>
      <c r="Q122" s="25" t="str">
        <f t="shared" si="24"/>
        <v/>
      </c>
      <c r="R122" s="26" t="str">
        <f t="shared" si="25"/>
        <v/>
      </c>
      <c r="S122" s="27" t="str">
        <f t="shared" si="26"/>
        <v/>
      </c>
      <c r="T122" s="28" t="str">
        <f t="shared" si="27"/>
        <v/>
      </c>
      <c r="U122" s="19"/>
    </row>
    <row r="123" spans="1:21" ht="16.05" customHeight="1">
      <c r="A123" s="18"/>
      <c r="B123" s="19"/>
      <c r="C123" s="19"/>
      <c r="D123" s="20"/>
      <c r="E123" s="20"/>
      <c r="F123" s="21" t="str">
        <f t="shared" si="21"/>
        <v/>
      </c>
      <c r="G123" s="21" t="str">
        <f>IF($B123="","",IFERROR(INDEX('DATA PHÍ &amp; SẢN PHẨM'!$M$13:$M$200,MATCH($B123,'DATA PHÍ &amp; SẢN PHẨM'!$L$13:$L$200,0)),0))</f>
        <v/>
      </c>
      <c r="H123" s="22"/>
      <c r="I123" s="20"/>
      <c r="J123" s="20"/>
      <c r="K123" s="23" t="str">
        <f>IF($B123="","",IFERROR(INDEX('DATA PHÍ &amp; SẢN PHẨM'!$F$13:$F$200,MATCH($B123,'DATA PHÍ &amp; SẢN PHẨM'!$L$13:$L$200,0)),0))</f>
        <v/>
      </c>
      <c r="L123" s="23" t="str">
        <f>IF($B123="","",IFERROR(INDEX('DATA PHÍ &amp; SẢN PHẨM'!$G$13:$G$200,MATCH($B123,'DATA PHÍ &amp; SẢN PHẨM'!$L$13:$L$200,0)),0))</f>
        <v/>
      </c>
      <c r="M123" s="24" t="str">
        <f t="shared" si="22"/>
        <v/>
      </c>
      <c r="N123" s="24" t="str">
        <f>IF($B123="","",$F123*'DATA PHÍ &amp; SẢN PHẨM'!$B$4)</f>
        <v/>
      </c>
      <c r="O123" s="24" t="str">
        <f>IF($B123="","",'DATA PHÍ &amp; SẢN PHẨM'!$B$5)</f>
        <v/>
      </c>
      <c r="P123" s="24" t="str">
        <f t="shared" si="23"/>
        <v/>
      </c>
      <c r="Q123" s="25" t="str">
        <f t="shared" si="24"/>
        <v/>
      </c>
      <c r="R123" s="26" t="str">
        <f t="shared" si="25"/>
        <v/>
      </c>
      <c r="S123" s="27" t="str">
        <f t="shared" si="26"/>
        <v/>
      </c>
      <c r="T123" s="28" t="str">
        <f t="shared" si="27"/>
        <v/>
      </c>
      <c r="U123" s="19"/>
    </row>
    <row r="124" spans="1:21" ht="16.05" customHeight="1">
      <c r="A124" s="18"/>
      <c r="B124" s="19"/>
      <c r="C124" s="19"/>
      <c r="D124" s="20"/>
      <c r="E124" s="20"/>
      <c r="F124" s="21" t="str">
        <f t="shared" si="21"/>
        <v/>
      </c>
      <c r="G124" s="21" t="str">
        <f>IF($B124="","",IFERROR(INDEX('DATA PHÍ &amp; SẢN PHẨM'!$M$13:$M$200,MATCH($B124,'DATA PHÍ &amp; SẢN PHẨM'!$L$13:$L$200,0)),0))</f>
        <v/>
      </c>
      <c r="H124" s="22"/>
      <c r="I124" s="20"/>
      <c r="J124" s="20"/>
      <c r="K124" s="23" t="str">
        <f>IF($B124="","",IFERROR(INDEX('DATA PHÍ &amp; SẢN PHẨM'!$F$13:$F$200,MATCH($B124,'DATA PHÍ &amp; SẢN PHẨM'!$L$13:$L$200,0)),0))</f>
        <v/>
      </c>
      <c r="L124" s="23" t="str">
        <f>IF($B124="","",IFERROR(INDEX('DATA PHÍ &amp; SẢN PHẨM'!$G$13:$G$200,MATCH($B124,'DATA PHÍ &amp; SẢN PHẨM'!$L$13:$L$200,0)),0))</f>
        <v/>
      </c>
      <c r="M124" s="24" t="str">
        <f t="shared" si="22"/>
        <v/>
      </c>
      <c r="N124" s="24" t="str">
        <f>IF($B124="","",$F124*'DATA PHÍ &amp; SẢN PHẨM'!$B$4)</f>
        <v/>
      </c>
      <c r="O124" s="24" t="str">
        <f>IF($B124="","",'DATA PHÍ &amp; SẢN PHẨM'!$B$5)</f>
        <v/>
      </c>
      <c r="P124" s="24" t="str">
        <f t="shared" si="23"/>
        <v/>
      </c>
      <c r="Q124" s="25" t="str">
        <f t="shared" si="24"/>
        <v/>
      </c>
      <c r="R124" s="26" t="str">
        <f t="shared" si="25"/>
        <v/>
      </c>
      <c r="S124" s="27" t="str">
        <f t="shared" si="26"/>
        <v/>
      </c>
      <c r="T124" s="28" t="str">
        <f t="shared" si="27"/>
        <v/>
      </c>
      <c r="U124" s="19"/>
    </row>
    <row r="125" spans="1:21" ht="16.05" customHeight="1">
      <c r="A125" s="18"/>
      <c r="B125" s="19"/>
      <c r="C125" s="19"/>
      <c r="D125" s="20"/>
      <c r="E125" s="20"/>
      <c r="F125" s="21" t="str">
        <f t="shared" si="21"/>
        <v/>
      </c>
      <c r="G125" s="21" t="str">
        <f>IF($B125="","",IFERROR(INDEX('DATA PHÍ &amp; SẢN PHẨM'!$M$13:$M$200,MATCH($B125,'DATA PHÍ &amp; SẢN PHẨM'!$L$13:$L$200,0)),0))</f>
        <v/>
      </c>
      <c r="H125" s="22"/>
      <c r="I125" s="20"/>
      <c r="J125" s="20"/>
      <c r="K125" s="23" t="str">
        <f>IF($B125="","",IFERROR(INDEX('DATA PHÍ &amp; SẢN PHẨM'!$F$13:$F$200,MATCH($B125,'DATA PHÍ &amp; SẢN PHẨM'!$L$13:$L$200,0)),0))</f>
        <v/>
      </c>
      <c r="L125" s="23" t="str">
        <f>IF($B125="","",IFERROR(INDEX('DATA PHÍ &amp; SẢN PHẨM'!$G$13:$G$200,MATCH($B125,'DATA PHÍ &amp; SẢN PHẨM'!$L$13:$L$200,0)),0))</f>
        <v/>
      </c>
      <c r="M125" s="24" t="str">
        <f t="shared" si="22"/>
        <v/>
      </c>
      <c r="N125" s="24" t="str">
        <f>IF($B125="","",$F125*'DATA PHÍ &amp; SẢN PHẨM'!$B$4)</f>
        <v/>
      </c>
      <c r="O125" s="24" t="str">
        <f>IF($B125="","",'DATA PHÍ &amp; SẢN PHẨM'!$B$5)</f>
        <v/>
      </c>
      <c r="P125" s="24" t="str">
        <f t="shared" si="23"/>
        <v/>
      </c>
      <c r="Q125" s="25" t="str">
        <f t="shared" si="24"/>
        <v/>
      </c>
      <c r="R125" s="26" t="str">
        <f t="shared" si="25"/>
        <v/>
      </c>
      <c r="S125" s="27" t="str">
        <f t="shared" si="26"/>
        <v/>
      </c>
      <c r="T125" s="28" t="str">
        <f t="shared" si="27"/>
        <v/>
      </c>
      <c r="U125" s="19"/>
    </row>
    <row r="126" spans="1:21" ht="16.05" customHeight="1">
      <c r="A126" s="18"/>
      <c r="B126" s="19"/>
      <c r="C126" s="19"/>
      <c r="D126" s="20"/>
      <c r="E126" s="20"/>
      <c r="F126" s="21" t="str">
        <f t="shared" si="21"/>
        <v/>
      </c>
      <c r="G126" s="21" t="str">
        <f>IF($B126="","",IFERROR(INDEX('DATA PHÍ &amp; SẢN PHẨM'!$M$13:$M$200,MATCH($B126,'DATA PHÍ &amp; SẢN PHẨM'!$L$13:$L$200,0)),0))</f>
        <v/>
      </c>
      <c r="H126" s="22"/>
      <c r="I126" s="20"/>
      <c r="J126" s="20"/>
      <c r="K126" s="23" t="str">
        <f>IF($B126="","",IFERROR(INDEX('DATA PHÍ &amp; SẢN PHẨM'!$F$13:$F$200,MATCH($B126,'DATA PHÍ &amp; SẢN PHẨM'!$L$13:$L$200,0)),0))</f>
        <v/>
      </c>
      <c r="L126" s="23" t="str">
        <f>IF($B126="","",IFERROR(INDEX('DATA PHÍ &amp; SẢN PHẨM'!$G$13:$G$200,MATCH($B126,'DATA PHÍ &amp; SẢN PHẨM'!$L$13:$L$200,0)),0))</f>
        <v/>
      </c>
      <c r="M126" s="24" t="str">
        <f t="shared" si="22"/>
        <v/>
      </c>
      <c r="N126" s="24" t="str">
        <f>IF($B126="","",$F126*'DATA PHÍ &amp; SẢN PHẨM'!$B$4)</f>
        <v/>
      </c>
      <c r="O126" s="24" t="str">
        <f>IF($B126="","",'DATA PHÍ &amp; SẢN PHẨM'!$B$5)</f>
        <v/>
      </c>
      <c r="P126" s="24" t="str">
        <f t="shared" si="23"/>
        <v/>
      </c>
      <c r="Q126" s="25" t="str">
        <f t="shared" si="24"/>
        <v/>
      </c>
      <c r="R126" s="26" t="str">
        <f t="shared" si="25"/>
        <v/>
      </c>
      <c r="S126" s="27" t="str">
        <f t="shared" si="26"/>
        <v/>
      </c>
      <c r="T126" s="28" t="str">
        <f t="shared" si="27"/>
        <v/>
      </c>
      <c r="U126" s="19"/>
    </row>
    <row r="127" spans="1:21" ht="16.05" customHeight="1">
      <c r="A127" s="18"/>
      <c r="B127" s="19"/>
      <c r="C127" s="19"/>
      <c r="D127" s="20"/>
      <c r="E127" s="20"/>
      <c r="F127" s="21" t="str">
        <f t="shared" si="21"/>
        <v/>
      </c>
      <c r="G127" s="21" t="str">
        <f>IF($B127="","",IFERROR(INDEX('DATA PHÍ &amp; SẢN PHẨM'!$M$13:$M$200,MATCH($B127,'DATA PHÍ &amp; SẢN PHẨM'!$L$13:$L$200,0)),0))</f>
        <v/>
      </c>
      <c r="H127" s="22"/>
      <c r="I127" s="20"/>
      <c r="J127" s="20"/>
      <c r="K127" s="23" t="str">
        <f>IF($B127="","",IFERROR(INDEX('DATA PHÍ &amp; SẢN PHẨM'!$F$13:$F$200,MATCH($B127,'DATA PHÍ &amp; SẢN PHẨM'!$L$13:$L$200,0)),0))</f>
        <v/>
      </c>
      <c r="L127" s="23" t="str">
        <f>IF($B127="","",IFERROR(INDEX('DATA PHÍ &amp; SẢN PHẨM'!$G$13:$G$200,MATCH($B127,'DATA PHÍ &amp; SẢN PHẨM'!$L$13:$L$200,0)),0))</f>
        <v/>
      </c>
      <c r="M127" s="24" t="str">
        <f t="shared" si="22"/>
        <v/>
      </c>
      <c r="N127" s="24" t="str">
        <f>IF($B127="","",$F127*'DATA PHÍ &amp; SẢN PHẨM'!$B$4)</f>
        <v/>
      </c>
      <c r="O127" s="24" t="str">
        <f>IF($B127="","",'DATA PHÍ &amp; SẢN PHẨM'!$B$5)</f>
        <v/>
      </c>
      <c r="P127" s="24" t="str">
        <f t="shared" si="23"/>
        <v/>
      </c>
      <c r="Q127" s="25" t="str">
        <f t="shared" si="24"/>
        <v/>
      </c>
      <c r="R127" s="26" t="str">
        <f t="shared" si="25"/>
        <v/>
      </c>
      <c r="S127" s="27" t="str">
        <f t="shared" si="26"/>
        <v/>
      </c>
      <c r="T127" s="28" t="str">
        <f t="shared" si="27"/>
        <v/>
      </c>
      <c r="U127" s="19"/>
    </row>
    <row r="128" spans="1:21" ht="16.05" customHeight="1">
      <c r="A128" s="18"/>
      <c r="B128" s="19"/>
      <c r="C128" s="19"/>
      <c r="D128" s="20"/>
      <c r="E128" s="20"/>
      <c r="F128" s="21" t="str">
        <f t="shared" si="21"/>
        <v/>
      </c>
      <c r="G128" s="21" t="str">
        <f>IF($B128="","",IFERROR(INDEX('DATA PHÍ &amp; SẢN PHẨM'!$M$13:$M$200,MATCH($B128,'DATA PHÍ &amp; SẢN PHẨM'!$L$13:$L$200,0)),0))</f>
        <v/>
      </c>
      <c r="H128" s="22"/>
      <c r="I128" s="20"/>
      <c r="J128" s="20"/>
      <c r="K128" s="23" t="str">
        <f>IF($B128="","",IFERROR(INDEX('DATA PHÍ &amp; SẢN PHẨM'!$F$13:$F$200,MATCH($B128,'DATA PHÍ &amp; SẢN PHẨM'!$L$13:$L$200,0)),0))</f>
        <v/>
      </c>
      <c r="L128" s="23" t="str">
        <f>IF($B128="","",IFERROR(INDEX('DATA PHÍ &amp; SẢN PHẨM'!$G$13:$G$200,MATCH($B128,'DATA PHÍ &amp; SẢN PHẨM'!$L$13:$L$200,0)),0))</f>
        <v/>
      </c>
      <c r="M128" s="24" t="str">
        <f t="shared" si="22"/>
        <v/>
      </c>
      <c r="N128" s="24" t="str">
        <f>IF($B128="","",$F128*'DATA PHÍ &amp; SẢN PHẨM'!$B$4)</f>
        <v/>
      </c>
      <c r="O128" s="24" t="str">
        <f>IF($B128="","",'DATA PHÍ &amp; SẢN PHẨM'!$B$5)</f>
        <v/>
      </c>
      <c r="P128" s="24" t="str">
        <f t="shared" si="23"/>
        <v/>
      </c>
      <c r="Q128" s="25" t="str">
        <f t="shared" si="24"/>
        <v/>
      </c>
      <c r="R128" s="26" t="str">
        <f t="shared" si="25"/>
        <v/>
      </c>
      <c r="S128" s="27" t="str">
        <f t="shared" si="26"/>
        <v/>
      </c>
      <c r="T128" s="28" t="str">
        <f t="shared" si="27"/>
        <v/>
      </c>
      <c r="U128" s="19"/>
    </row>
    <row r="129" spans="1:21" ht="16.05" customHeight="1">
      <c r="A129" s="18"/>
      <c r="B129" s="19"/>
      <c r="C129" s="19"/>
      <c r="D129" s="20"/>
      <c r="E129" s="20"/>
      <c r="F129" s="21" t="str">
        <f t="shared" si="21"/>
        <v/>
      </c>
      <c r="G129" s="21" t="str">
        <f>IF($B129="","",IFERROR(INDEX('DATA PHÍ &amp; SẢN PHẨM'!$M$13:$M$200,MATCH($B129,'DATA PHÍ &amp; SẢN PHẨM'!$L$13:$L$200,0)),0))</f>
        <v/>
      </c>
      <c r="H129" s="22"/>
      <c r="I129" s="20"/>
      <c r="J129" s="20"/>
      <c r="K129" s="23" t="str">
        <f>IF($B129="","",IFERROR(INDEX('DATA PHÍ &amp; SẢN PHẨM'!$F$13:$F$200,MATCH($B129,'DATA PHÍ &amp; SẢN PHẨM'!$L$13:$L$200,0)),0))</f>
        <v/>
      </c>
      <c r="L129" s="23" t="str">
        <f>IF($B129="","",IFERROR(INDEX('DATA PHÍ &amp; SẢN PHẨM'!$G$13:$G$200,MATCH($B129,'DATA PHÍ &amp; SẢN PHẨM'!$L$13:$L$200,0)),0))</f>
        <v/>
      </c>
      <c r="M129" s="24" t="str">
        <f t="shared" si="22"/>
        <v/>
      </c>
      <c r="N129" s="24" t="str">
        <f>IF($B129="","",$F129*'DATA PHÍ &amp; SẢN PHẨM'!$B$4)</f>
        <v/>
      </c>
      <c r="O129" s="24" t="str">
        <f>IF($B129="","",'DATA PHÍ &amp; SẢN PHẨM'!$B$5)</f>
        <v/>
      </c>
      <c r="P129" s="24" t="str">
        <f t="shared" si="23"/>
        <v/>
      </c>
      <c r="Q129" s="25" t="str">
        <f t="shared" si="24"/>
        <v/>
      </c>
      <c r="R129" s="26" t="str">
        <f t="shared" si="25"/>
        <v/>
      </c>
      <c r="S129" s="27" t="str">
        <f t="shared" si="26"/>
        <v/>
      </c>
      <c r="T129" s="28" t="str">
        <f t="shared" si="27"/>
        <v/>
      </c>
      <c r="U129" s="19"/>
    </row>
    <row r="130" spans="1:21" ht="16.05" customHeight="1">
      <c r="A130" s="18"/>
      <c r="B130" s="19"/>
      <c r="C130" s="19"/>
      <c r="D130" s="20"/>
      <c r="E130" s="20"/>
      <c r="F130" s="21" t="str">
        <f t="shared" si="21"/>
        <v/>
      </c>
      <c r="G130" s="21" t="str">
        <f>IF($B130="","",IFERROR(INDEX('DATA PHÍ &amp; SẢN PHẨM'!$M$13:$M$200,MATCH($B130,'DATA PHÍ &amp; SẢN PHẨM'!$L$13:$L$200,0)),0))</f>
        <v/>
      </c>
      <c r="H130" s="22"/>
      <c r="I130" s="20"/>
      <c r="J130" s="20"/>
      <c r="K130" s="23" t="str">
        <f>IF($B130="","",IFERROR(INDEX('DATA PHÍ &amp; SẢN PHẨM'!$F$13:$F$200,MATCH($B130,'DATA PHÍ &amp; SẢN PHẨM'!$L$13:$L$200,0)),0))</f>
        <v/>
      </c>
      <c r="L130" s="23" t="str">
        <f>IF($B130="","",IFERROR(INDEX('DATA PHÍ &amp; SẢN PHẨM'!$G$13:$G$200,MATCH($B130,'DATA PHÍ &amp; SẢN PHẨM'!$L$13:$L$200,0)),0))</f>
        <v/>
      </c>
      <c r="M130" s="24" t="str">
        <f t="shared" si="22"/>
        <v/>
      </c>
      <c r="N130" s="24" t="str">
        <f>IF($B130="","",$F130*'DATA PHÍ &amp; SẢN PHẨM'!$B$4)</f>
        <v/>
      </c>
      <c r="O130" s="24" t="str">
        <f>IF($B130="","",'DATA PHÍ &amp; SẢN PHẨM'!$B$5)</f>
        <v/>
      </c>
      <c r="P130" s="24" t="str">
        <f t="shared" si="23"/>
        <v/>
      </c>
      <c r="Q130" s="25" t="str">
        <f t="shared" si="24"/>
        <v/>
      </c>
      <c r="R130" s="26" t="str">
        <f t="shared" si="25"/>
        <v/>
      </c>
      <c r="S130" s="27" t="str">
        <f t="shared" si="26"/>
        <v/>
      </c>
      <c r="T130" s="28" t="str">
        <f t="shared" si="27"/>
        <v/>
      </c>
      <c r="U130" s="19"/>
    </row>
    <row r="131" spans="1:21" ht="16.05" customHeight="1">
      <c r="A131" s="18"/>
      <c r="B131" s="19"/>
      <c r="C131" s="19"/>
      <c r="D131" s="20"/>
      <c r="E131" s="20"/>
      <c r="F131" s="21" t="str">
        <f t="shared" si="21"/>
        <v/>
      </c>
      <c r="G131" s="21" t="str">
        <f>IF($B131="","",IFERROR(INDEX('DATA PHÍ &amp; SẢN PHẨM'!$M$13:$M$200,MATCH($B131,'DATA PHÍ &amp; SẢN PHẨM'!$L$13:$L$200,0)),0))</f>
        <v/>
      </c>
      <c r="H131" s="22"/>
      <c r="I131" s="20"/>
      <c r="J131" s="20"/>
      <c r="K131" s="23" t="str">
        <f>IF($B131="","",IFERROR(INDEX('DATA PHÍ &amp; SẢN PHẨM'!$F$13:$F$200,MATCH($B131,'DATA PHÍ &amp; SẢN PHẨM'!$L$13:$L$200,0)),0))</f>
        <v/>
      </c>
      <c r="L131" s="23" t="str">
        <f>IF($B131="","",IFERROR(INDEX('DATA PHÍ &amp; SẢN PHẨM'!$G$13:$G$200,MATCH($B131,'DATA PHÍ &amp; SẢN PHẨM'!$L$13:$L$200,0)),0))</f>
        <v/>
      </c>
      <c r="M131" s="24" t="str">
        <f t="shared" si="22"/>
        <v/>
      </c>
      <c r="N131" s="24" t="str">
        <f>IF($B131="","",$F131*'DATA PHÍ &amp; SẢN PHẨM'!$B$4)</f>
        <v/>
      </c>
      <c r="O131" s="24" t="str">
        <f>IF($B131="","",'DATA PHÍ &amp; SẢN PHẨM'!$B$5)</f>
        <v/>
      </c>
      <c r="P131" s="24" t="str">
        <f t="shared" si="23"/>
        <v/>
      </c>
      <c r="Q131" s="25" t="str">
        <f t="shared" si="24"/>
        <v/>
      </c>
      <c r="R131" s="26" t="str">
        <f t="shared" si="25"/>
        <v/>
      </c>
      <c r="S131" s="27" t="str">
        <f t="shared" si="26"/>
        <v/>
      </c>
      <c r="T131" s="28" t="str">
        <f t="shared" si="27"/>
        <v/>
      </c>
      <c r="U131" s="19"/>
    </row>
    <row r="132" spans="1:21" ht="16.05" customHeight="1">
      <c r="A132" s="18"/>
      <c r="B132" s="19"/>
      <c r="C132" s="19"/>
      <c r="D132" s="20"/>
      <c r="E132" s="20"/>
      <c r="F132" s="21" t="str">
        <f t="shared" si="21"/>
        <v/>
      </c>
      <c r="G132" s="21" t="str">
        <f>IF($B132="","",IFERROR(INDEX('DATA PHÍ &amp; SẢN PHẨM'!$M$13:$M$200,MATCH($B132,'DATA PHÍ &amp; SẢN PHẨM'!$L$13:$L$200,0)),0))</f>
        <v/>
      </c>
      <c r="H132" s="22"/>
      <c r="I132" s="20"/>
      <c r="J132" s="20"/>
      <c r="K132" s="23" t="str">
        <f>IF($B132="","",IFERROR(INDEX('DATA PHÍ &amp; SẢN PHẨM'!$F$13:$F$200,MATCH($B132,'DATA PHÍ &amp; SẢN PHẨM'!$L$13:$L$200,0)),0))</f>
        <v/>
      </c>
      <c r="L132" s="23" t="str">
        <f>IF($B132="","",IFERROR(INDEX('DATA PHÍ &amp; SẢN PHẨM'!$G$13:$G$200,MATCH($B132,'DATA PHÍ &amp; SẢN PHẨM'!$L$13:$L$200,0)),0))</f>
        <v/>
      </c>
      <c r="M132" s="24" t="str">
        <f t="shared" si="22"/>
        <v/>
      </c>
      <c r="N132" s="24" t="str">
        <f>IF($B132="","",$F132*'DATA PHÍ &amp; SẢN PHẨM'!$B$4)</f>
        <v/>
      </c>
      <c r="O132" s="24" t="str">
        <f>IF($B132="","",'DATA PHÍ &amp; SẢN PHẨM'!$B$5)</f>
        <v/>
      </c>
      <c r="P132" s="24" t="str">
        <f t="shared" si="23"/>
        <v/>
      </c>
      <c r="Q132" s="25" t="str">
        <f t="shared" si="24"/>
        <v/>
      </c>
      <c r="R132" s="26" t="str">
        <f t="shared" si="25"/>
        <v/>
      </c>
      <c r="S132" s="27" t="str">
        <f t="shared" si="26"/>
        <v/>
      </c>
      <c r="T132" s="28" t="str">
        <f t="shared" si="27"/>
        <v/>
      </c>
      <c r="U132" s="19"/>
    </row>
    <row r="133" spans="1:21" ht="16.05" customHeight="1">
      <c r="A133" s="18"/>
      <c r="B133" s="19"/>
      <c r="C133" s="19"/>
      <c r="D133" s="20"/>
      <c r="E133" s="20"/>
      <c r="F133" s="21" t="str">
        <f t="shared" si="21"/>
        <v/>
      </c>
      <c r="G133" s="21" t="str">
        <f>IF($B133="","",IFERROR(INDEX('DATA PHÍ &amp; SẢN PHẨM'!$M$13:$M$200,MATCH($B133,'DATA PHÍ &amp; SẢN PHẨM'!$L$13:$L$200,0)),0))</f>
        <v/>
      </c>
      <c r="H133" s="22"/>
      <c r="I133" s="20"/>
      <c r="J133" s="20"/>
      <c r="K133" s="23" t="str">
        <f>IF($B133="","",IFERROR(INDEX('DATA PHÍ &amp; SẢN PHẨM'!$F$13:$F$200,MATCH($B133,'DATA PHÍ &amp; SẢN PHẨM'!$L$13:$L$200,0)),0))</f>
        <v/>
      </c>
      <c r="L133" s="23" t="str">
        <f>IF($B133="","",IFERROR(INDEX('DATA PHÍ &amp; SẢN PHẨM'!$G$13:$G$200,MATCH($B133,'DATA PHÍ &amp; SẢN PHẨM'!$L$13:$L$200,0)),0))</f>
        <v/>
      </c>
      <c r="M133" s="24" t="str">
        <f t="shared" si="22"/>
        <v/>
      </c>
      <c r="N133" s="24" t="str">
        <f>IF($B133="","",$F133*'DATA PHÍ &amp; SẢN PHẨM'!$B$4)</f>
        <v/>
      </c>
      <c r="O133" s="24" t="str">
        <f>IF($B133="","",'DATA PHÍ &amp; SẢN PHẨM'!$B$5)</f>
        <v/>
      </c>
      <c r="P133" s="24" t="str">
        <f t="shared" si="23"/>
        <v/>
      </c>
      <c r="Q133" s="25" t="str">
        <f t="shared" si="24"/>
        <v/>
      </c>
      <c r="R133" s="26" t="str">
        <f t="shared" si="25"/>
        <v/>
      </c>
      <c r="S133" s="27" t="str">
        <f t="shared" si="26"/>
        <v/>
      </c>
      <c r="T133" s="28" t="str">
        <f t="shared" si="27"/>
        <v/>
      </c>
      <c r="U133" s="19"/>
    </row>
    <row r="134" spans="1:21" ht="16.05" customHeight="1">
      <c r="A134" s="18"/>
      <c r="B134" s="19"/>
      <c r="C134" s="19"/>
      <c r="D134" s="20"/>
      <c r="E134" s="20"/>
      <c r="F134" s="21" t="str">
        <f t="shared" si="21"/>
        <v/>
      </c>
      <c r="G134" s="21" t="str">
        <f>IF($B134="","",IFERROR(INDEX('DATA PHÍ &amp; SẢN PHẨM'!$M$13:$M$200,MATCH($B134,'DATA PHÍ &amp; SẢN PHẨM'!$L$13:$L$200,0)),0))</f>
        <v/>
      </c>
      <c r="H134" s="22"/>
      <c r="I134" s="20"/>
      <c r="J134" s="20"/>
      <c r="K134" s="23" t="str">
        <f>IF($B134="","",IFERROR(INDEX('DATA PHÍ &amp; SẢN PHẨM'!$F$13:$F$200,MATCH($B134,'DATA PHÍ &amp; SẢN PHẨM'!$L$13:$L$200,0)),0))</f>
        <v/>
      </c>
      <c r="L134" s="23" t="str">
        <f>IF($B134="","",IFERROR(INDEX('DATA PHÍ &amp; SẢN PHẨM'!$G$13:$G$200,MATCH($B134,'DATA PHÍ &amp; SẢN PHẨM'!$L$13:$L$200,0)),0))</f>
        <v/>
      </c>
      <c r="M134" s="24" t="str">
        <f t="shared" si="22"/>
        <v/>
      </c>
      <c r="N134" s="24" t="str">
        <f>IF($B134="","",$F134*'DATA PHÍ &amp; SẢN PHẨM'!$B$4)</f>
        <v/>
      </c>
      <c r="O134" s="24" t="str">
        <f>IF($B134="","",'DATA PHÍ &amp; SẢN PHẨM'!$B$5)</f>
        <v/>
      </c>
      <c r="P134" s="24" t="str">
        <f t="shared" si="23"/>
        <v/>
      </c>
      <c r="Q134" s="25" t="str">
        <f t="shared" si="24"/>
        <v/>
      </c>
      <c r="R134" s="26" t="str">
        <f t="shared" si="25"/>
        <v/>
      </c>
      <c r="S134" s="27" t="str">
        <f t="shared" si="26"/>
        <v/>
      </c>
      <c r="T134" s="28" t="str">
        <f t="shared" si="27"/>
        <v/>
      </c>
      <c r="U134" s="19"/>
    </row>
    <row r="135" spans="1:21" ht="16.05" customHeight="1">
      <c r="A135" s="18"/>
      <c r="B135" s="19"/>
      <c r="C135" s="19"/>
      <c r="D135" s="20"/>
      <c r="E135" s="20"/>
      <c r="F135" s="21" t="str">
        <f t="shared" si="21"/>
        <v/>
      </c>
      <c r="G135" s="21" t="str">
        <f>IF($B135="","",IFERROR(INDEX('DATA PHÍ &amp; SẢN PHẨM'!$M$13:$M$200,MATCH($B135,'DATA PHÍ &amp; SẢN PHẨM'!$L$13:$L$200,0)),0))</f>
        <v/>
      </c>
      <c r="H135" s="22"/>
      <c r="I135" s="20"/>
      <c r="J135" s="20"/>
      <c r="K135" s="23" t="str">
        <f>IF($B135="","",IFERROR(INDEX('DATA PHÍ &amp; SẢN PHẨM'!$F$13:$F$200,MATCH($B135,'DATA PHÍ &amp; SẢN PHẨM'!$L$13:$L$200,0)),0))</f>
        <v/>
      </c>
      <c r="L135" s="23" t="str">
        <f>IF($B135="","",IFERROR(INDEX('DATA PHÍ &amp; SẢN PHẨM'!$G$13:$G$200,MATCH($B135,'DATA PHÍ &amp; SẢN PHẨM'!$L$13:$L$200,0)),0))</f>
        <v/>
      </c>
      <c r="M135" s="24" t="str">
        <f t="shared" si="22"/>
        <v/>
      </c>
      <c r="N135" s="24" t="str">
        <f>IF($B135="","",$F135*'DATA PHÍ &amp; SẢN PHẨM'!$B$4)</f>
        <v/>
      </c>
      <c r="O135" s="24" t="str">
        <f>IF($B135="","",'DATA PHÍ &amp; SẢN PHẨM'!$B$5)</f>
        <v/>
      </c>
      <c r="P135" s="24" t="str">
        <f t="shared" si="23"/>
        <v/>
      </c>
      <c r="Q135" s="25" t="str">
        <f t="shared" si="24"/>
        <v/>
      </c>
      <c r="R135" s="26" t="str">
        <f t="shared" si="25"/>
        <v/>
      </c>
      <c r="S135" s="27" t="str">
        <f t="shared" si="26"/>
        <v/>
      </c>
      <c r="T135" s="28" t="str">
        <f t="shared" si="27"/>
        <v/>
      </c>
      <c r="U135" s="19"/>
    </row>
    <row r="136" spans="1:21" ht="16.05" customHeight="1">
      <c r="A136" s="18"/>
      <c r="B136" s="19"/>
      <c r="C136" s="19"/>
      <c r="D136" s="20"/>
      <c r="E136" s="20"/>
      <c r="F136" s="21" t="str">
        <f t="shared" si="21"/>
        <v/>
      </c>
      <c r="G136" s="21" t="str">
        <f>IF($B136="","",IFERROR(INDEX('DATA PHÍ &amp; SẢN PHẨM'!$M$13:$M$200,MATCH($B136,'DATA PHÍ &amp; SẢN PHẨM'!$L$13:$L$200,0)),0))</f>
        <v/>
      </c>
      <c r="H136" s="22"/>
      <c r="I136" s="20"/>
      <c r="J136" s="20"/>
      <c r="K136" s="23" t="str">
        <f>IF($B136="","",IFERROR(INDEX('DATA PHÍ &amp; SẢN PHẨM'!$F$13:$F$200,MATCH($B136,'DATA PHÍ &amp; SẢN PHẨM'!$L$13:$L$200,0)),0))</f>
        <v/>
      </c>
      <c r="L136" s="23" t="str">
        <f>IF($B136="","",IFERROR(INDEX('DATA PHÍ &amp; SẢN PHẨM'!$G$13:$G$200,MATCH($B136,'DATA PHÍ &amp; SẢN PHẨM'!$L$13:$L$200,0)),0))</f>
        <v/>
      </c>
      <c r="M136" s="24" t="str">
        <f t="shared" si="22"/>
        <v/>
      </c>
      <c r="N136" s="24" t="str">
        <f>IF($B136="","",$F136*'DATA PHÍ &amp; SẢN PHẨM'!$B$4)</f>
        <v/>
      </c>
      <c r="O136" s="24" t="str">
        <f>IF($B136="","",'DATA PHÍ &amp; SẢN PHẨM'!$B$5)</f>
        <v/>
      </c>
      <c r="P136" s="24" t="str">
        <f t="shared" si="23"/>
        <v/>
      </c>
      <c r="Q136" s="25" t="str">
        <f t="shared" si="24"/>
        <v/>
      </c>
      <c r="R136" s="26" t="str">
        <f t="shared" si="25"/>
        <v/>
      </c>
      <c r="S136" s="27" t="str">
        <f t="shared" si="26"/>
        <v/>
      </c>
      <c r="T136" s="28" t="str">
        <f t="shared" si="27"/>
        <v/>
      </c>
      <c r="U136" s="19"/>
    </row>
    <row r="137" spans="1:21" ht="16.05" customHeight="1">
      <c r="A137" s="18"/>
      <c r="B137" s="19"/>
      <c r="C137" s="19"/>
      <c r="D137" s="20"/>
      <c r="E137" s="20"/>
      <c r="F137" s="21" t="str">
        <f t="shared" si="21"/>
        <v/>
      </c>
      <c r="G137" s="21" t="str">
        <f>IF($B137="","",IFERROR(INDEX('DATA PHÍ &amp; SẢN PHẨM'!$M$13:$M$200,MATCH($B137,'DATA PHÍ &amp; SẢN PHẨM'!$L$13:$L$200,0)),0))</f>
        <v/>
      </c>
      <c r="H137" s="22"/>
      <c r="I137" s="20"/>
      <c r="J137" s="20"/>
      <c r="K137" s="23" t="str">
        <f>IF($B137="","",IFERROR(INDEX('DATA PHÍ &amp; SẢN PHẨM'!$F$13:$F$200,MATCH($B137,'DATA PHÍ &amp; SẢN PHẨM'!$L$13:$L$200,0)),0))</f>
        <v/>
      </c>
      <c r="L137" s="23" t="str">
        <f>IF($B137="","",IFERROR(INDEX('DATA PHÍ &amp; SẢN PHẨM'!$G$13:$G$200,MATCH($B137,'DATA PHÍ &amp; SẢN PHẨM'!$L$13:$L$200,0)),0))</f>
        <v/>
      </c>
      <c r="M137" s="24" t="str">
        <f t="shared" si="22"/>
        <v/>
      </c>
      <c r="N137" s="24" t="str">
        <f>IF($B137="","",$F137*'DATA PHÍ &amp; SẢN PHẨM'!$B$4)</f>
        <v/>
      </c>
      <c r="O137" s="24" t="str">
        <f>IF($B137="","",'DATA PHÍ &amp; SẢN PHẨM'!$B$5)</f>
        <v/>
      </c>
      <c r="P137" s="24" t="str">
        <f t="shared" si="23"/>
        <v/>
      </c>
      <c r="Q137" s="25" t="str">
        <f t="shared" si="24"/>
        <v/>
      </c>
      <c r="R137" s="26" t="str">
        <f t="shared" si="25"/>
        <v/>
      </c>
      <c r="S137" s="27" t="str">
        <f t="shared" si="26"/>
        <v/>
      </c>
      <c r="T137" s="28" t="str">
        <f t="shared" si="27"/>
        <v/>
      </c>
      <c r="U137" s="19"/>
    </row>
    <row r="138" spans="1:21" ht="16.05" customHeight="1">
      <c r="A138" s="18"/>
      <c r="B138" s="19"/>
      <c r="C138" s="19"/>
      <c r="D138" s="20"/>
      <c r="E138" s="20"/>
      <c r="F138" s="21" t="str">
        <f t="shared" si="21"/>
        <v/>
      </c>
      <c r="G138" s="21" t="str">
        <f>IF($B138="","",IFERROR(INDEX('DATA PHÍ &amp; SẢN PHẨM'!$M$13:$M$200,MATCH($B138,'DATA PHÍ &amp; SẢN PHẨM'!$L$13:$L$200,0)),0))</f>
        <v/>
      </c>
      <c r="H138" s="22"/>
      <c r="I138" s="20"/>
      <c r="J138" s="20"/>
      <c r="K138" s="23" t="str">
        <f>IF($B138="","",IFERROR(INDEX('DATA PHÍ &amp; SẢN PHẨM'!$F$13:$F$200,MATCH($B138,'DATA PHÍ &amp; SẢN PHẨM'!$L$13:$L$200,0)),0))</f>
        <v/>
      </c>
      <c r="L138" s="23" t="str">
        <f>IF($B138="","",IFERROR(INDEX('DATA PHÍ &amp; SẢN PHẨM'!$G$13:$G$200,MATCH($B138,'DATA PHÍ &amp; SẢN PHẨM'!$L$13:$L$200,0)),0))</f>
        <v/>
      </c>
      <c r="M138" s="24" t="str">
        <f t="shared" si="22"/>
        <v/>
      </c>
      <c r="N138" s="24" t="str">
        <f>IF($B138="","",$F138*'DATA PHÍ &amp; SẢN PHẨM'!$B$4)</f>
        <v/>
      </c>
      <c r="O138" s="24" t="str">
        <f>IF($B138="","",'DATA PHÍ &amp; SẢN PHẨM'!$B$5)</f>
        <v/>
      </c>
      <c r="P138" s="24" t="str">
        <f t="shared" si="23"/>
        <v/>
      </c>
      <c r="Q138" s="25" t="str">
        <f t="shared" si="24"/>
        <v/>
      </c>
      <c r="R138" s="26" t="str">
        <f t="shared" si="25"/>
        <v/>
      </c>
      <c r="S138" s="27" t="str">
        <f t="shared" si="26"/>
        <v/>
      </c>
      <c r="T138" s="28" t="str">
        <f t="shared" si="27"/>
        <v/>
      </c>
      <c r="U138" s="19"/>
    </row>
    <row r="139" spans="1:21" ht="16.05" customHeight="1">
      <c r="A139" s="18"/>
      <c r="B139" s="19"/>
      <c r="C139" s="19"/>
      <c r="D139" s="20"/>
      <c r="E139" s="20"/>
      <c r="F139" s="21" t="str">
        <f t="shared" ref="F139:F170" si="28">IF($B139="","",$D139-$E139)</f>
        <v/>
      </c>
      <c r="G139" s="21" t="str">
        <f>IF($B139="","",IFERROR(INDEX('DATA PHÍ &amp; SẢN PHẨM'!$M$13:$M$200,MATCH($B139,'DATA PHÍ &amp; SẢN PHẨM'!$L$13:$L$200,0)),0))</f>
        <v/>
      </c>
      <c r="H139" s="22"/>
      <c r="I139" s="20"/>
      <c r="J139" s="20"/>
      <c r="K139" s="23" t="str">
        <f>IF($B139="","",IFERROR(INDEX('DATA PHÍ &amp; SẢN PHẨM'!$F$13:$F$200,MATCH($B139,'DATA PHÍ &amp; SẢN PHẨM'!$L$13:$L$200,0)),0))</f>
        <v/>
      </c>
      <c r="L139" s="23" t="str">
        <f>IF($B139="","",IFERROR(INDEX('DATA PHÍ &amp; SẢN PHẨM'!$G$13:$G$200,MATCH($B139,'DATA PHÍ &amp; SẢN PHẨM'!$L$13:$L$200,0)),0))</f>
        <v/>
      </c>
      <c r="M139" s="24" t="str">
        <f t="shared" ref="M139:M170" si="29">IF($B139="","",$F139*IF($C139="Mall",$L139,$K139))</f>
        <v/>
      </c>
      <c r="N139" s="24" t="str">
        <f>IF($B139="","",$F139*'DATA PHÍ &amp; SẢN PHẨM'!$B$4)</f>
        <v/>
      </c>
      <c r="O139" s="24" t="str">
        <f>IF($B139="","",'DATA PHÍ &amp; SẢN PHẨM'!$B$5)</f>
        <v/>
      </c>
      <c r="P139" s="24" t="str">
        <f t="shared" ref="P139:P170" si="30">IF($B139="","",SUM(M139:O139))</f>
        <v/>
      </c>
      <c r="Q139" s="25" t="str">
        <f t="shared" ref="Q139:Q170" si="31">IF($B139="","",SUM(G139,I139,J139,P139)+($F139*$H139))</f>
        <v/>
      </c>
      <c r="R139" s="26" t="str">
        <f t="shared" ref="R139:R170" si="32">IF($B139="","",$F139-$Q139)</f>
        <v/>
      </c>
      <c r="S139" s="27" t="str">
        <f t="shared" ref="S139:S170" si="33">IF($B139="","",IFERROR($R139/$F139,0))</f>
        <v/>
      </c>
      <c r="T139" s="28" t="str">
        <f t="shared" ref="T139:T170" si="34">IF($B139="","",IF($R139&lt;0,"LỖ",IF($S139&lt;0.05,"RẤT NGUY HIỂM",IF($S139&lt;0.1,"LÃI THẤP",IF($S139&lt;0.2,"ỔN","TỐT")))))</f>
        <v/>
      </c>
      <c r="U139" s="19"/>
    </row>
    <row r="140" spans="1:21" ht="16.05" customHeight="1">
      <c r="A140" s="18"/>
      <c r="B140" s="19"/>
      <c r="C140" s="19"/>
      <c r="D140" s="20"/>
      <c r="E140" s="20"/>
      <c r="F140" s="21" t="str">
        <f t="shared" si="28"/>
        <v/>
      </c>
      <c r="G140" s="21" t="str">
        <f>IF($B140="","",IFERROR(INDEX('DATA PHÍ &amp; SẢN PHẨM'!$M$13:$M$200,MATCH($B140,'DATA PHÍ &amp; SẢN PHẨM'!$L$13:$L$200,0)),0))</f>
        <v/>
      </c>
      <c r="H140" s="22"/>
      <c r="I140" s="20"/>
      <c r="J140" s="20"/>
      <c r="K140" s="23" t="str">
        <f>IF($B140="","",IFERROR(INDEX('DATA PHÍ &amp; SẢN PHẨM'!$F$13:$F$200,MATCH($B140,'DATA PHÍ &amp; SẢN PHẨM'!$L$13:$L$200,0)),0))</f>
        <v/>
      </c>
      <c r="L140" s="23" t="str">
        <f>IF($B140="","",IFERROR(INDEX('DATA PHÍ &amp; SẢN PHẨM'!$G$13:$G$200,MATCH($B140,'DATA PHÍ &amp; SẢN PHẨM'!$L$13:$L$200,0)),0))</f>
        <v/>
      </c>
      <c r="M140" s="24" t="str">
        <f t="shared" si="29"/>
        <v/>
      </c>
      <c r="N140" s="24" t="str">
        <f>IF($B140="","",$F140*'DATA PHÍ &amp; SẢN PHẨM'!$B$4)</f>
        <v/>
      </c>
      <c r="O140" s="24" t="str">
        <f>IF($B140="","",'DATA PHÍ &amp; SẢN PHẨM'!$B$5)</f>
        <v/>
      </c>
      <c r="P140" s="24" t="str">
        <f t="shared" si="30"/>
        <v/>
      </c>
      <c r="Q140" s="25" t="str">
        <f t="shared" si="31"/>
        <v/>
      </c>
      <c r="R140" s="26" t="str">
        <f t="shared" si="32"/>
        <v/>
      </c>
      <c r="S140" s="27" t="str">
        <f t="shared" si="33"/>
        <v/>
      </c>
      <c r="T140" s="28" t="str">
        <f t="shared" si="34"/>
        <v/>
      </c>
      <c r="U140" s="19"/>
    </row>
    <row r="141" spans="1:21" ht="16.05" customHeight="1">
      <c r="A141" s="18"/>
      <c r="B141" s="19"/>
      <c r="C141" s="19"/>
      <c r="D141" s="20"/>
      <c r="E141" s="20"/>
      <c r="F141" s="21" t="str">
        <f t="shared" si="28"/>
        <v/>
      </c>
      <c r="G141" s="21" t="str">
        <f>IF($B141="","",IFERROR(INDEX('DATA PHÍ &amp; SẢN PHẨM'!$M$13:$M$200,MATCH($B141,'DATA PHÍ &amp; SẢN PHẨM'!$L$13:$L$200,0)),0))</f>
        <v/>
      </c>
      <c r="H141" s="22"/>
      <c r="I141" s="20"/>
      <c r="J141" s="20"/>
      <c r="K141" s="23" t="str">
        <f>IF($B141="","",IFERROR(INDEX('DATA PHÍ &amp; SẢN PHẨM'!$F$13:$F$200,MATCH($B141,'DATA PHÍ &amp; SẢN PHẨM'!$L$13:$L$200,0)),0))</f>
        <v/>
      </c>
      <c r="L141" s="23" t="str">
        <f>IF($B141="","",IFERROR(INDEX('DATA PHÍ &amp; SẢN PHẨM'!$G$13:$G$200,MATCH($B141,'DATA PHÍ &amp; SẢN PHẨM'!$L$13:$L$200,0)),0))</f>
        <v/>
      </c>
      <c r="M141" s="24" t="str">
        <f t="shared" si="29"/>
        <v/>
      </c>
      <c r="N141" s="24" t="str">
        <f>IF($B141="","",$F141*'DATA PHÍ &amp; SẢN PHẨM'!$B$4)</f>
        <v/>
      </c>
      <c r="O141" s="24" t="str">
        <f>IF($B141="","",'DATA PHÍ &amp; SẢN PHẨM'!$B$5)</f>
        <v/>
      </c>
      <c r="P141" s="24" t="str">
        <f t="shared" si="30"/>
        <v/>
      </c>
      <c r="Q141" s="25" t="str">
        <f t="shared" si="31"/>
        <v/>
      </c>
      <c r="R141" s="26" t="str">
        <f t="shared" si="32"/>
        <v/>
      </c>
      <c r="S141" s="27" t="str">
        <f t="shared" si="33"/>
        <v/>
      </c>
      <c r="T141" s="28" t="str">
        <f t="shared" si="34"/>
        <v/>
      </c>
      <c r="U141" s="19"/>
    </row>
    <row r="142" spans="1:21" ht="16.05" customHeight="1">
      <c r="A142" s="18"/>
      <c r="B142" s="19"/>
      <c r="C142" s="19"/>
      <c r="D142" s="20"/>
      <c r="E142" s="20"/>
      <c r="F142" s="21" t="str">
        <f t="shared" si="28"/>
        <v/>
      </c>
      <c r="G142" s="21" t="str">
        <f>IF($B142="","",IFERROR(INDEX('DATA PHÍ &amp; SẢN PHẨM'!$M$13:$M$200,MATCH($B142,'DATA PHÍ &amp; SẢN PHẨM'!$L$13:$L$200,0)),0))</f>
        <v/>
      </c>
      <c r="H142" s="22"/>
      <c r="I142" s="20"/>
      <c r="J142" s="20"/>
      <c r="K142" s="23" t="str">
        <f>IF($B142="","",IFERROR(INDEX('DATA PHÍ &amp; SẢN PHẨM'!$F$13:$F$200,MATCH($B142,'DATA PHÍ &amp; SẢN PHẨM'!$L$13:$L$200,0)),0))</f>
        <v/>
      </c>
      <c r="L142" s="23" t="str">
        <f>IF($B142="","",IFERROR(INDEX('DATA PHÍ &amp; SẢN PHẨM'!$G$13:$G$200,MATCH($B142,'DATA PHÍ &amp; SẢN PHẨM'!$L$13:$L$200,0)),0))</f>
        <v/>
      </c>
      <c r="M142" s="24" t="str">
        <f t="shared" si="29"/>
        <v/>
      </c>
      <c r="N142" s="24" t="str">
        <f>IF($B142="","",$F142*'DATA PHÍ &amp; SẢN PHẨM'!$B$4)</f>
        <v/>
      </c>
      <c r="O142" s="24" t="str">
        <f>IF($B142="","",'DATA PHÍ &amp; SẢN PHẨM'!$B$5)</f>
        <v/>
      </c>
      <c r="P142" s="24" t="str">
        <f t="shared" si="30"/>
        <v/>
      </c>
      <c r="Q142" s="25" t="str">
        <f t="shared" si="31"/>
        <v/>
      </c>
      <c r="R142" s="26" t="str">
        <f t="shared" si="32"/>
        <v/>
      </c>
      <c r="S142" s="27" t="str">
        <f t="shared" si="33"/>
        <v/>
      </c>
      <c r="T142" s="28" t="str">
        <f t="shared" si="34"/>
        <v/>
      </c>
      <c r="U142" s="19"/>
    </row>
    <row r="143" spans="1:21" ht="16.05" customHeight="1">
      <c r="A143" s="18"/>
      <c r="B143" s="19"/>
      <c r="C143" s="19"/>
      <c r="D143" s="20"/>
      <c r="E143" s="20"/>
      <c r="F143" s="21" t="str">
        <f t="shared" si="28"/>
        <v/>
      </c>
      <c r="G143" s="21" t="str">
        <f>IF($B143="","",IFERROR(INDEX('DATA PHÍ &amp; SẢN PHẨM'!$M$13:$M$200,MATCH($B143,'DATA PHÍ &amp; SẢN PHẨM'!$L$13:$L$200,0)),0))</f>
        <v/>
      </c>
      <c r="H143" s="22"/>
      <c r="I143" s="20"/>
      <c r="J143" s="20"/>
      <c r="K143" s="23" t="str">
        <f>IF($B143="","",IFERROR(INDEX('DATA PHÍ &amp; SẢN PHẨM'!$F$13:$F$200,MATCH($B143,'DATA PHÍ &amp; SẢN PHẨM'!$L$13:$L$200,0)),0))</f>
        <v/>
      </c>
      <c r="L143" s="23" t="str">
        <f>IF($B143="","",IFERROR(INDEX('DATA PHÍ &amp; SẢN PHẨM'!$G$13:$G$200,MATCH($B143,'DATA PHÍ &amp; SẢN PHẨM'!$L$13:$L$200,0)),0))</f>
        <v/>
      </c>
      <c r="M143" s="24" t="str">
        <f t="shared" si="29"/>
        <v/>
      </c>
      <c r="N143" s="24" t="str">
        <f>IF($B143="","",$F143*'DATA PHÍ &amp; SẢN PHẨM'!$B$4)</f>
        <v/>
      </c>
      <c r="O143" s="24" t="str">
        <f>IF($B143="","",'DATA PHÍ &amp; SẢN PHẨM'!$B$5)</f>
        <v/>
      </c>
      <c r="P143" s="24" t="str">
        <f t="shared" si="30"/>
        <v/>
      </c>
      <c r="Q143" s="25" t="str">
        <f t="shared" si="31"/>
        <v/>
      </c>
      <c r="R143" s="26" t="str">
        <f t="shared" si="32"/>
        <v/>
      </c>
      <c r="S143" s="27" t="str">
        <f t="shared" si="33"/>
        <v/>
      </c>
      <c r="T143" s="28" t="str">
        <f t="shared" si="34"/>
        <v/>
      </c>
      <c r="U143" s="19"/>
    </row>
    <row r="144" spans="1:21" ht="16.05" customHeight="1">
      <c r="A144" s="18"/>
      <c r="B144" s="19"/>
      <c r="C144" s="19"/>
      <c r="D144" s="20"/>
      <c r="E144" s="20"/>
      <c r="F144" s="21" t="str">
        <f t="shared" si="28"/>
        <v/>
      </c>
      <c r="G144" s="21" t="str">
        <f>IF($B144="","",IFERROR(INDEX('DATA PHÍ &amp; SẢN PHẨM'!$M$13:$M$200,MATCH($B144,'DATA PHÍ &amp; SẢN PHẨM'!$L$13:$L$200,0)),0))</f>
        <v/>
      </c>
      <c r="H144" s="22"/>
      <c r="I144" s="20"/>
      <c r="J144" s="20"/>
      <c r="K144" s="23" t="str">
        <f>IF($B144="","",IFERROR(INDEX('DATA PHÍ &amp; SẢN PHẨM'!$F$13:$F$200,MATCH($B144,'DATA PHÍ &amp; SẢN PHẨM'!$L$13:$L$200,0)),0))</f>
        <v/>
      </c>
      <c r="L144" s="23" t="str">
        <f>IF($B144="","",IFERROR(INDEX('DATA PHÍ &amp; SẢN PHẨM'!$G$13:$G$200,MATCH($B144,'DATA PHÍ &amp; SẢN PHẨM'!$L$13:$L$200,0)),0))</f>
        <v/>
      </c>
      <c r="M144" s="24" t="str">
        <f t="shared" si="29"/>
        <v/>
      </c>
      <c r="N144" s="24" t="str">
        <f>IF($B144="","",$F144*'DATA PHÍ &amp; SẢN PHẨM'!$B$4)</f>
        <v/>
      </c>
      <c r="O144" s="24" t="str">
        <f>IF($B144="","",'DATA PHÍ &amp; SẢN PHẨM'!$B$5)</f>
        <v/>
      </c>
      <c r="P144" s="24" t="str">
        <f t="shared" si="30"/>
        <v/>
      </c>
      <c r="Q144" s="25" t="str">
        <f t="shared" si="31"/>
        <v/>
      </c>
      <c r="R144" s="26" t="str">
        <f t="shared" si="32"/>
        <v/>
      </c>
      <c r="S144" s="27" t="str">
        <f t="shared" si="33"/>
        <v/>
      </c>
      <c r="T144" s="28" t="str">
        <f t="shared" si="34"/>
        <v/>
      </c>
      <c r="U144" s="19"/>
    </row>
    <row r="145" spans="1:21" ht="16.05" customHeight="1">
      <c r="A145" s="18"/>
      <c r="B145" s="19"/>
      <c r="C145" s="19"/>
      <c r="D145" s="20"/>
      <c r="E145" s="20"/>
      <c r="F145" s="21" t="str">
        <f t="shared" si="28"/>
        <v/>
      </c>
      <c r="G145" s="21" t="str">
        <f>IF($B145="","",IFERROR(INDEX('DATA PHÍ &amp; SẢN PHẨM'!$M$13:$M$200,MATCH($B145,'DATA PHÍ &amp; SẢN PHẨM'!$L$13:$L$200,0)),0))</f>
        <v/>
      </c>
      <c r="H145" s="22"/>
      <c r="I145" s="20"/>
      <c r="J145" s="20"/>
      <c r="K145" s="23" t="str">
        <f>IF($B145="","",IFERROR(INDEX('DATA PHÍ &amp; SẢN PHẨM'!$F$13:$F$200,MATCH($B145,'DATA PHÍ &amp; SẢN PHẨM'!$L$13:$L$200,0)),0))</f>
        <v/>
      </c>
      <c r="L145" s="23" t="str">
        <f>IF($B145="","",IFERROR(INDEX('DATA PHÍ &amp; SẢN PHẨM'!$G$13:$G$200,MATCH($B145,'DATA PHÍ &amp; SẢN PHẨM'!$L$13:$L$200,0)),0))</f>
        <v/>
      </c>
      <c r="M145" s="24" t="str">
        <f t="shared" si="29"/>
        <v/>
      </c>
      <c r="N145" s="24" t="str">
        <f>IF($B145="","",$F145*'DATA PHÍ &amp; SẢN PHẨM'!$B$4)</f>
        <v/>
      </c>
      <c r="O145" s="24" t="str">
        <f>IF($B145="","",'DATA PHÍ &amp; SẢN PHẨM'!$B$5)</f>
        <v/>
      </c>
      <c r="P145" s="24" t="str">
        <f t="shared" si="30"/>
        <v/>
      </c>
      <c r="Q145" s="25" t="str">
        <f t="shared" si="31"/>
        <v/>
      </c>
      <c r="R145" s="26" t="str">
        <f t="shared" si="32"/>
        <v/>
      </c>
      <c r="S145" s="27" t="str">
        <f t="shared" si="33"/>
        <v/>
      </c>
      <c r="T145" s="28" t="str">
        <f t="shared" si="34"/>
        <v/>
      </c>
      <c r="U145" s="19"/>
    </row>
    <row r="146" spans="1:21" ht="16.05" customHeight="1">
      <c r="A146" s="18"/>
      <c r="B146" s="19"/>
      <c r="C146" s="19"/>
      <c r="D146" s="20"/>
      <c r="E146" s="20"/>
      <c r="F146" s="21" t="str">
        <f t="shared" si="28"/>
        <v/>
      </c>
      <c r="G146" s="21" t="str">
        <f>IF($B146="","",IFERROR(INDEX('DATA PHÍ &amp; SẢN PHẨM'!$M$13:$M$200,MATCH($B146,'DATA PHÍ &amp; SẢN PHẨM'!$L$13:$L$200,0)),0))</f>
        <v/>
      </c>
      <c r="H146" s="22"/>
      <c r="I146" s="20"/>
      <c r="J146" s="20"/>
      <c r="K146" s="23" t="str">
        <f>IF($B146="","",IFERROR(INDEX('DATA PHÍ &amp; SẢN PHẨM'!$F$13:$F$200,MATCH($B146,'DATA PHÍ &amp; SẢN PHẨM'!$L$13:$L$200,0)),0))</f>
        <v/>
      </c>
      <c r="L146" s="23" t="str">
        <f>IF($B146="","",IFERROR(INDEX('DATA PHÍ &amp; SẢN PHẨM'!$G$13:$G$200,MATCH($B146,'DATA PHÍ &amp; SẢN PHẨM'!$L$13:$L$200,0)),0))</f>
        <v/>
      </c>
      <c r="M146" s="24" t="str">
        <f t="shared" si="29"/>
        <v/>
      </c>
      <c r="N146" s="24" t="str">
        <f>IF($B146="","",$F146*'DATA PHÍ &amp; SẢN PHẨM'!$B$4)</f>
        <v/>
      </c>
      <c r="O146" s="24" t="str">
        <f>IF($B146="","",'DATA PHÍ &amp; SẢN PHẨM'!$B$5)</f>
        <v/>
      </c>
      <c r="P146" s="24" t="str">
        <f t="shared" si="30"/>
        <v/>
      </c>
      <c r="Q146" s="25" t="str">
        <f t="shared" si="31"/>
        <v/>
      </c>
      <c r="R146" s="26" t="str">
        <f t="shared" si="32"/>
        <v/>
      </c>
      <c r="S146" s="27" t="str">
        <f t="shared" si="33"/>
        <v/>
      </c>
      <c r="T146" s="28" t="str">
        <f t="shared" si="34"/>
        <v/>
      </c>
      <c r="U146" s="19"/>
    </row>
    <row r="147" spans="1:21" ht="16.05" customHeight="1">
      <c r="A147" s="18"/>
      <c r="B147" s="19"/>
      <c r="C147" s="19"/>
      <c r="D147" s="20"/>
      <c r="E147" s="20"/>
      <c r="F147" s="21" t="str">
        <f t="shared" si="28"/>
        <v/>
      </c>
      <c r="G147" s="21" t="str">
        <f>IF($B147="","",IFERROR(INDEX('DATA PHÍ &amp; SẢN PHẨM'!$M$13:$M$200,MATCH($B147,'DATA PHÍ &amp; SẢN PHẨM'!$L$13:$L$200,0)),0))</f>
        <v/>
      </c>
      <c r="H147" s="22"/>
      <c r="I147" s="20"/>
      <c r="J147" s="20"/>
      <c r="K147" s="23" t="str">
        <f>IF($B147="","",IFERROR(INDEX('DATA PHÍ &amp; SẢN PHẨM'!$F$13:$F$200,MATCH($B147,'DATA PHÍ &amp; SẢN PHẨM'!$L$13:$L$200,0)),0))</f>
        <v/>
      </c>
      <c r="L147" s="23" t="str">
        <f>IF($B147="","",IFERROR(INDEX('DATA PHÍ &amp; SẢN PHẨM'!$G$13:$G$200,MATCH($B147,'DATA PHÍ &amp; SẢN PHẨM'!$L$13:$L$200,0)),0))</f>
        <v/>
      </c>
      <c r="M147" s="24" t="str">
        <f t="shared" si="29"/>
        <v/>
      </c>
      <c r="N147" s="24" t="str">
        <f>IF($B147="","",$F147*'DATA PHÍ &amp; SẢN PHẨM'!$B$4)</f>
        <v/>
      </c>
      <c r="O147" s="24" t="str">
        <f>IF($B147="","",'DATA PHÍ &amp; SẢN PHẨM'!$B$5)</f>
        <v/>
      </c>
      <c r="P147" s="24" t="str">
        <f t="shared" si="30"/>
        <v/>
      </c>
      <c r="Q147" s="25" t="str">
        <f t="shared" si="31"/>
        <v/>
      </c>
      <c r="R147" s="26" t="str">
        <f t="shared" si="32"/>
        <v/>
      </c>
      <c r="S147" s="27" t="str">
        <f t="shared" si="33"/>
        <v/>
      </c>
      <c r="T147" s="28" t="str">
        <f t="shared" si="34"/>
        <v/>
      </c>
      <c r="U147" s="19"/>
    </row>
    <row r="148" spans="1:21" ht="16.05" customHeight="1">
      <c r="A148" s="18"/>
      <c r="B148" s="19"/>
      <c r="C148" s="19"/>
      <c r="D148" s="20"/>
      <c r="E148" s="20"/>
      <c r="F148" s="21" t="str">
        <f t="shared" si="28"/>
        <v/>
      </c>
      <c r="G148" s="21" t="str">
        <f>IF($B148="","",IFERROR(INDEX('DATA PHÍ &amp; SẢN PHẨM'!$M$13:$M$200,MATCH($B148,'DATA PHÍ &amp; SẢN PHẨM'!$L$13:$L$200,0)),0))</f>
        <v/>
      </c>
      <c r="H148" s="22"/>
      <c r="I148" s="20"/>
      <c r="J148" s="20"/>
      <c r="K148" s="23" t="str">
        <f>IF($B148="","",IFERROR(INDEX('DATA PHÍ &amp; SẢN PHẨM'!$F$13:$F$200,MATCH($B148,'DATA PHÍ &amp; SẢN PHẨM'!$L$13:$L$200,0)),0))</f>
        <v/>
      </c>
      <c r="L148" s="23" t="str">
        <f>IF($B148="","",IFERROR(INDEX('DATA PHÍ &amp; SẢN PHẨM'!$G$13:$G$200,MATCH($B148,'DATA PHÍ &amp; SẢN PHẨM'!$L$13:$L$200,0)),0))</f>
        <v/>
      </c>
      <c r="M148" s="24" t="str">
        <f t="shared" si="29"/>
        <v/>
      </c>
      <c r="N148" s="24" t="str">
        <f>IF($B148="","",$F148*'DATA PHÍ &amp; SẢN PHẨM'!$B$4)</f>
        <v/>
      </c>
      <c r="O148" s="24" t="str">
        <f>IF($B148="","",'DATA PHÍ &amp; SẢN PHẨM'!$B$5)</f>
        <v/>
      </c>
      <c r="P148" s="24" t="str">
        <f t="shared" si="30"/>
        <v/>
      </c>
      <c r="Q148" s="25" t="str">
        <f t="shared" si="31"/>
        <v/>
      </c>
      <c r="R148" s="26" t="str">
        <f t="shared" si="32"/>
        <v/>
      </c>
      <c r="S148" s="27" t="str">
        <f t="shared" si="33"/>
        <v/>
      </c>
      <c r="T148" s="28" t="str">
        <f t="shared" si="34"/>
        <v/>
      </c>
      <c r="U148" s="19"/>
    </row>
    <row r="149" spans="1:21" ht="16.05" customHeight="1">
      <c r="A149" s="18"/>
      <c r="B149" s="19"/>
      <c r="C149" s="19"/>
      <c r="D149" s="20"/>
      <c r="E149" s="20"/>
      <c r="F149" s="21" t="str">
        <f t="shared" si="28"/>
        <v/>
      </c>
      <c r="G149" s="21" t="str">
        <f>IF($B149="","",IFERROR(INDEX('DATA PHÍ &amp; SẢN PHẨM'!$M$13:$M$200,MATCH($B149,'DATA PHÍ &amp; SẢN PHẨM'!$L$13:$L$200,0)),0))</f>
        <v/>
      </c>
      <c r="H149" s="22"/>
      <c r="I149" s="20"/>
      <c r="J149" s="20"/>
      <c r="K149" s="23" t="str">
        <f>IF($B149="","",IFERROR(INDEX('DATA PHÍ &amp; SẢN PHẨM'!$F$13:$F$200,MATCH($B149,'DATA PHÍ &amp; SẢN PHẨM'!$L$13:$L$200,0)),0))</f>
        <v/>
      </c>
      <c r="L149" s="23" t="str">
        <f>IF($B149="","",IFERROR(INDEX('DATA PHÍ &amp; SẢN PHẨM'!$G$13:$G$200,MATCH($B149,'DATA PHÍ &amp; SẢN PHẨM'!$L$13:$L$200,0)),0))</f>
        <v/>
      </c>
      <c r="M149" s="24" t="str">
        <f t="shared" si="29"/>
        <v/>
      </c>
      <c r="N149" s="24" t="str">
        <f>IF($B149="","",$F149*'DATA PHÍ &amp; SẢN PHẨM'!$B$4)</f>
        <v/>
      </c>
      <c r="O149" s="24" t="str">
        <f>IF($B149="","",'DATA PHÍ &amp; SẢN PHẨM'!$B$5)</f>
        <v/>
      </c>
      <c r="P149" s="24" t="str">
        <f t="shared" si="30"/>
        <v/>
      </c>
      <c r="Q149" s="25" t="str">
        <f t="shared" si="31"/>
        <v/>
      </c>
      <c r="R149" s="26" t="str">
        <f t="shared" si="32"/>
        <v/>
      </c>
      <c r="S149" s="27" t="str">
        <f t="shared" si="33"/>
        <v/>
      </c>
      <c r="T149" s="28" t="str">
        <f t="shared" si="34"/>
        <v/>
      </c>
      <c r="U149" s="19"/>
    </row>
    <row r="150" spans="1:21" ht="16.05" customHeight="1">
      <c r="A150" s="18"/>
      <c r="B150" s="19"/>
      <c r="C150" s="19"/>
      <c r="D150" s="20"/>
      <c r="E150" s="20"/>
      <c r="F150" s="21" t="str">
        <f t="shared" si="28"/>
        <v/>
      </c>
      <c r="G150" s="21" t="str">
        <f>IF($B150="","",IFERROR(INDEX('DATA PHÍ &amp; SẢN PHẨM'!$M$13:$M$200,MATCH($B150,'DATA PHÍ &amp; SẢN PHẨM'!$L$13:$L$200,0)),0))</f>
        <v/>
      </c>
      <c r="H150" s="22"/>
      <c r="I150" s="20"/>
      <c r="J150" s="20"/>
      <c r="K150" s="23" t="str">
        <f>IF($B150="","",IFERROR(INDEX('DATA PHÍ &amp; SẢN PHẨM'!$F$13:$F$200,MATCH($B150,'DATA PHÍ &amp; SẢN PHẨM'!$L$13:$L$200,0)),0))</f>
        <v/>
      </c>
      <c r="L150" s="23" t="str">
        <f>IF($B150="","",IFERROR(INDEX('DATA PHÍ &amp; SẢN PHẨM'!$G$13:$G$200,MATCH($B150,'DATA PHÍ &amp; SẢN PHẨM'!$L$13:$L$200,0)),0))</f>
        <v/>
      </c>
      <c r="M150" s="24" t="str">
        <f t="shared" si="29"/>
        <v/>
      </c>
      <c r="N150" s="24" t="str">
        <f>IF($B150="","",$F150*'DATA PHÍ &amp; SẢN PHẨM'!$B$4)</f>
        <v/>
      </c>
      <c r="O150" s="24" t="str">
        <f>IF($B150="","",'DATA PHÍ &amp; SẢN PHẨM'!$B$5)</f>
        <v/>
      </c>
      <c r="P150" s="24" t="str">
        <f t="shared" si="30"/>
        <v/>
      </c>
      <c r="Q150" s="25" t="str">
        <f t="shared" si="31"/>
        <v/>
      </c>
      <c r="R150" s="26" t="str">
        <f t="shared" si="32"/>
        <v/>
      </c>
      <c r="S150" s="27" t="str">
        <f t="shared" si="33"/>
        <v/>
      </c>
      <c r="T150" s="28" t="str">
        <f t="shared" si="34"/>
        <v/>
      </c>
      <c r="U150" s="19"/>
    </row>
    <row r="151" spans="1:21" ht="16.05" customHeight="1">
      <c r="A151" s="18"/>
      <c r="B151" s="19"/>
      <c r="C151" s="19"/>
      <c r="D151" s="20"/>
      <c r="E151" s="20"/>
      <c r="F151" s="21" t="str">
        <f t="shared" si="28"/>
        <v/>
      </c>
      <c r="G151" s="21" t="str">
        <f>IF($B151="","",IFERROR(INDEX('DATA PHÍ &amp; SẢN PHẨM'!$M$13:$M$200,MATCH($B151,'DATA PHÍ &amp; SẢN PHẨM'!$L$13:$L$200,0)),0))</f>
        <v/>
      </c>
      <c r="H151" s="22"/>
      <c r="I151" s="20"/>
      <c r="J151" s="20"/>
      <c r="K151" s="23" t="str">
        <f>IF($B151="","",IFERROR(INDEX('DATA PHÍ &amp; SẢN PHẨM'!$F$13:$F$200,MATCH($B151,'DATA PHÍ &amp; SẢN PHẨM'!$L$13:$L$200,0)),0))</f>
        <v/>
      </c>
      <c r="L151" s="23" t="str">
        <f>IF($B151="","",IFERROR(INDEX('DATA PHÍ &amp; SẢN PHẨM'!$G$13:$G$200,MATCH($B151,'DATA PHÍ &amp; SẢN PHẨM'!$L$13:$L$200,0)),0))</f>
        <v/>
      </c>
      <c r="M151" s="24" t="str">
        <f t="shared" si="29"/>
        <v/>
      </c>
      <c r="N151" s="24" t="str">
        <f>IF($B151="","",$F151*'DATA PHÍ &amp; SẢN PHẨM'!$B$4)</f>
        <v/>
      </c>
      <c r="O151" s="24" t="str">
        <f>IF($B151="","",'DATA PHÍ &amp; SẢN PHẨM'!$B$5)</f>
        <v/>
      </c>
      <c r="P151" s="24" t="str">
        <f t="shared" si="30"/>
        <v/>
      </c>
      <c r="Q151" s="25" t="str">
        <f t="shared" si="31"/>
        <v/>
      </c>
      <c r="R151" s="26" t="str">
        <f t="shared" si="32"/>
        <v/>
      </c>
      <c r="S151" s="27" t="str">
        <f t="shared" si="33"/>
        <v/>
      </c>
      <c r="T151" s="28" t="str">
        <f t="shared" si="34"/>
        <v/>
      </c>
      <c r="U151" s="19"/>
    </row>
    <row r="152" spans="1:21" ht="16.05" customHeight="1">
      <c r="A152" s="18"/>
      <c r="B152" s="19"/>
      <c r="C152" s="19"/>
      <c r="D152" s="20"/>
      <c r="E152" s="20"/>
      <c r="F152" s="21" t="str">
        <f t="shared" si="28"/>
        <v/>
      </c>
      <c r="G152" s="21" t="str">
        <f>IF($B152="","",IFERROR(INDEX('DATA PHÍ &amp; SẢN PHẨM'!$M$13:$M$200,MATCH($B152,'DATA PHÍ &amp; SẢN PHẨM'!$L$13:$L$200,0)),0))</f>
        <v/>
      </c>
      <c r="H152" s="22"/>
      <c r="I152" s="20"/>
      <c r="J152" s="20"/>
      <c r="K152" s="23" t="str">
        <f>IF($B152="","",IFERROR(INDEX('DATA PHÍ &amp; SẢN PHẨM'!$F$13:$F$200,MATCH($B152,'DATA PHÍ &amp; SẢN PHẨM'!$L$13:$L$200,0)),0))</f>
        <v/>
      </c>
      <c r="L152" s="23" t="str">
        <f>IF($B152="","",IFERROR(INDEX('DATA PHÍ &amp; SẢN PHẨM'!$G$13:$G$200,MATCH($B152,'DATA PHÍ &amp; SẢN PHẨM'!$L$13:$L$200,0)),0))</f>
        <v/>
      </c>
      <c r="M152" s="24" t="str">
        <f t="shared" si="29"/>
        <v/>
      </c>
      <c r="N152" s="24" t="str">
        <f>IF($B152="","",$F152*'DATA PHÍ &amp; SẢN PHẨM'!$B$4)</f>
        <v/>
      </c>
      <c r="O152" s="24" t="str">
        <f>IF($B152="","",'DATA PHÍ &amp; SẢN PHẨM'!$B$5)</f>
        <v/>
      </c>
      <c r="P152" s="24" t="str">
        <f t="shared" si="30"/>
        <v/>
      </c>
      <c r="Q152" s="25" t="str">
        <f t="shared" si="31"/>
        <v/>
      </c>
      <c r="R152" s="26" t="str">
        <f t="shared" si="32"/>
        <v/>
      </c>
      <c r="S152" s="27" t="str">
        <f t="shared" si="33"/>
        <v/>
      </c>
      <c r="T152" s="28" t="str">
        <f t="shared" si="34"/>
        <v/>
      </c>
      <c r="U152" s="19"/>
    </row>
    <row r="153" spans="1:21" ht="16.05" customHeight="1">
      <c r="A153" s="18"/>
      <c r="B153" s="19"/>
      <c r="C153" s="19"/>
      <c r="D153" s="20"/>
      <c r="E153" s="20"/>
      <c r="F153" s="21" t="str">
        <f t="shared" si="28"/>
        <v/>
      </c>
      <c r="G153" s="21" t="str">
        <f>IF($B153="","",IFERROR(INDEX('DATA PHÍ &amp; SẢN PHẨM'!$M$13:$M$200,MATCH($B153,'DATA PHÍ &amp; SẢN PHẨM'!$L$13:$L$200,0)),0))</f>
        <v/>
      </c>
      <c r="H153" s="22"/>
      <c r="I153" s="20"/>
      <c r="J153" s="20"/>
      <c r="K153" s="23" t="str">
        <f>IF($B153="","",IFERROR(INDEX('DATA PHÍ &amp; SẢN PHẨM'!$F$13:$F$200,MATCH($B153,'DATA PHÍ &amp; SẢN PHẨM'!$L$13:$L$200,0)),0))</f>
        <v/>
      </c>
      <c r="L153" s="23" t="str">
        <f>IF($B153="","",IFERROR(INDEX('DATA PHÍ &amp; SẢN PHẨM'!$G$13:$G$200,MATCH($B153,'DATA PHÍ &amp; SẢN PHẨM'!$L$13:$L$200,0)),0))</f>
        <v/>
      </c>
      <c r="M153" s="24" t="str">
        <f t="shared" si="29"/>
        <v/>
      </c>
      <c r="N153" s="24" t="str">
        <f>IF($B153="","",$F153*'DATA PHÍ &amp; SẢN PHẨM'!$B$4)</f>
        <v/>
      </c>
      <c r="O153" s="24" t="str">
        <f>IF($B153="","",'DATA PHÍ &amp; SẢN PHẨM'!$B$5)</f>
        <v/>
      </c>
      <c r="P153" s="24" t="str">
        <f t="shared" si="30"/>
        <v/>
      </c>
      <c r="Q153" s="25" t="str">
        <f t="shared" si="31"/>
        <v/>
      </c>
      <c r="R153" s="26" t="str">
        <f t="shared" si="32"/>
        <v/>
      </c>
      <c r="S153" s="27" t="str">
        <f t="shared" si="33"/>
        <v/>
      </c>
      <c r="T153" s="28" t="str">
        <f t="shared" si="34"/>
        <v/>
      </c>
      <c r="U153" s="19"/>
    </row>
    <row r="154" spans="1:21" ht="16.05" customHeight="1">
      <c r="A154" s="18"/>
      <c r="B154" s="19"/>
      <c r="C154" s="19"/>
      <c r="D154" s="20"/>
      <c r="E154" s="20"/>
      <c r="F154" s="21" t="str">
        <f t="shared" si="28"/>
        <v/>
      </c>
      <c r="G154" s="21" t="str">
        <f>IF($B154="","",IFERROR(INDEX('DATA PHÍ &amp; SẢN PHẨM'!$M$13:$M$200,MATCH($B154,'DATA PHÍ &amp; SẢN PHẨM'!$L$13:$L$200,0)),0))</f>
        <v/>
      </c>
      <c r="H154" s="22"/>
      <c r="I154" s="20"/>
      <c r="J154" s="20"/>
      <c r="K154" s="23" t="str">
        <f>IF($B154="","",IFERROR(INDEX('DATA PHÍ &amp; SẢN PHẨM'!$F$13:$F$200,MATCH($B154,'DATA PHÍ &amp; SẢN PHẨM'!$L$13:$L$200,0)),0))</f>
        <v/>
      </c>
      <c r="L154" s="23" t="str">
        <f>IF($B154="","",IFERROR(INDEX('DATA PHÍ &amp; SẢN PHẨM'!$G$13:$G$200,MATCH($B154,'DATA PHÍ &amp; SẢN PHẨM'!$L$13:$L$200,0)),0))</f>
        <v/>
      </c>
      <c r="M154" s="24" t="str">
        <f t="shared" si="29"/>
        <v/>
      </c>
      <c r="N154" s="24" t="str">
        <f>IF($B154="","",$F154*'DATA PHÍ &amp; SẢN PHẨM'!$B$4)</f>
        <v/>
      </c>
      <c r="O154" s="24" t="str">
        <f>IF($B154="","",'DATA PHÍ &amp; SẢN PHẨM'!$B$5)</f>
        <v/>
      </c>
      <c r="P154" s="24" t="str">
        <f t="shared" si="30"/>
        <v/>
      </c>
      <c r="Q154" s="25" t="str">
        <f t="shared" si="31"/>
        <v/>
      </c>
      <c r="R154" s="26" t="str">
        <f t="shared" si="32"/>
        <v/>
      </c>
      <c r="S154" s="27" t="str">
        <f t="shared" si="33"/>
        <v/>
      </c>
      <c r="T154" s="28" t="str">
        <f t="shared" si="34"/>
        <v/>
      </c>
      <c r="U154" s="19"/>
    </row>
    <row r="155" spans="1:21" ht="16.05" customHeight="1">
      <c r="A155" s="18"/>
      <c r="B155" s="19"/>
      <c r="C155" s="19"/>
      <c r="D155" s="20"/>
      <c r="E155" s="20"/>
      <c r="F155" s="21" t="str">
        <f t="shared" si="28"/>
        <v/>
      </c>
      <c r="G155" s="21" t="str">
        <f>IF($B155="","",IFERROR(INDEX('DATA PHÍ &amp; SẢN PHẨM'!$M$13:$M$200,MATCH($B155,'DATA PHÍ &amp; SẢN PHẨM'!$L$13:$L$200,0)),0))</f>
        <v/>
      </c>
      <c r="H155" s="22"/>
      <c r="I155" s="20"/>
      <c r="J155" s="20"/>
      <c r="K155" s="23" t="str">
        <f>IF($B155="","",IFERROR(INDEX('DATA PHÍ &amp; SẢN PHẨM'!$F$13:$F$200,MATCH($B155,'DATA PHÍ &amp; SẢN PHẨM'!$L$13:$L$200,0)),0))</f>
        <v/>
      </c>
      <c r="L155" s="23" t="str">
        <f>IF($B155="","",IFERROR(INDEX('DATA PHÍ &amp; SẢN PHẨM'!$G$13:$G$200,MATCH($B155,'DATA PHÍ &amp; SẢN PHẨM'!$L$13:$L$200,0)),0))</f>
        <v/>
      </c>
      <c r="M155" s="24" t="str">
        <f t="shared" si="29"/>
        <v/>
      </c>
      <c r="N155" s="24" t="str">
        <f>IF($B155="","",$F155*'DATA PHÍ &amp; SẢN PHẨM'!$B$4)</f>
        <v/>
      </c>
      <c r="O155" s="24" t="str">
        <f>IF($B155="","",'DATA PHÍ &amp; SẢN PHẨM'!$B$5)</f>
        <v/>
      </c>
      <c r="P155" s="24" t="str">
        <f t="shared" si="30"/>
        <v/>
      </c>
      <c r="Q155" s="25" t="str">
        <f t="shared" si="31"/>
        <v/>
      </c>
      <c r="R155" s="26" t="str">
        <f t="shared" si="32"/>
        <v/>
      </c>
      <c r="S155" s="27" t="str">
        <f t="shared" si="33"/>
        <v/>
      </c>
      <c r="T155" s="28" t="str">
        <f t="shared" si="34"/>
        <v/>
      </c>
      <c r="U155" s="19"/>
    </row>
    <row r="156" spans="1:21" ht="16.05" customHeight="1">
      <c r="A156" s="18"/>
      <c r="B156" s="19"/>
      <c r="C156" s="19"/>
      <c r="D156" s="20"/>
      <c r="E156" s="20"/>
      <c r="F156" s="21" t="str">
        <f t="shared" si="28"/>
        <v/>
      </c>
      <c r="G156" s="21" t="str">
        <f>IF($B156="","",IFERROR(INDEX('DATA PHÍ &amp; SẢN PHẨM'!$M$13:$M$200,MATCH($B156,'DATA PHÍ &amp; SẢN PHẨM'!$L$13:$L$200,0)),0))</f>
        <v/>
      </c>
      <c r="H156" s="22"/>
      <c r="I156" s="20"/>
      <c r="J156" s="20"/>
      <c r="K156" s="23" t="str">
        <f>IF($B156="","",IFERROR(INDEX('DATA PHÍ &amp; SẢN PHẨM'!$F$13:$F$200,MATCH($B156,'DATA PHÍ &amp; SẢN PHẨM'!$L$13:$L$200,0)),0))</f>
        <v/>
      </c>
      <c r="L156" s="23" t="str">
        <f>IF($B156="","",IFERROR(INDEX('DATA PHÍ &amp; SẢN PHẨM'!$G$13:$G$200,MATCH($B156,'DATA PHÍ &amp; SẢN PHẨM'!$L$13:$L$200,0)),0))</f>
        <v/>
      </c>
      <c r="M156" s="24" t="str">
        <f t="shared" si="29"/>
        <v/>
      </c>
      <c r="N156" s="24" t="str">
        <f>IF($B156="","",$F156*'DATA PHÍ &amp; SẢN PHẨM'!$B$4)</f>
        <v/>
      </c>
      <c r="O156" s="24" t="str">
        <f>IF($B156="","",'DATA PHÍ &amp; SẢN PHẨM'!$B$5)</f>
        <v/>
      </c>
      <c r="P156" s="24" t="str">
        <f t="shared" si="30"/>
        <v/>
      </c>
      <c r="Q156" s="25" t="str">
        <f t="shared" si="31"/>
        <v/>
      </c>
      <c r="R156" s="26" t="str">
        <f t="shared" si="32"/>
        <v/>
      </c>
      <c r="S156" s="27" t="str">
        <f t="shared" si="33"/>
        <v/>
      </c>
      <c r="T156" s="28" t="str">
        <f t="shared" si="34"/>
        <v/>
      </c>
      <c r="U156" s="19"/>
    </row>
    <row r="157" spans="1:21" ht="16.05" customHeight="1">
      <c r="A157" s="18"/>
      <c r="B157" s="19"/>
      <c r="C157" s="19"/>
      <c r="D157" s="20"/>
      <c r="E157" s="20"/>
      <c r="F157" s="21" t="str">
        <f t="shared" si="28"/>
        <v/>
      </c>
      <c r="G157" s="21" t="str">
        <f>IF($B157="","",IFERROR(INDEX('DATA PHÍ &amp; SẢN PHẨM'!$M$13:$M$200,MATCH($B157,'DATA PHÍ &amp; SẢN PHẨM'!$L$13:$L$200,0)),0))</f>
        <v/>
      </c>
      <c r="H157" s="22"/>
      <c r="I157" s="20"/>
      <c r="J157" s="20"/>
      <c r="K157" s="23" t="str">
        <f>IF($B157="","",IFERROR(INDEX('DATA PHÍ &amp; SẢN PHẨM'!$F$13:$F$200,MATCH($B157,'DATA PHÍ &amp; SẢN PHẨM'!$L$13:$L$200,0)),0))</f>
        <v/>
      </c>
      <c r="L157" s="23" t="str">
        <f>IF($B157="","",IFERROR(INDEX('DATA PHÍ &amp; SẢN PHẨM'!$G$13:$G$200,MATCH($B157,'DATA PHÍ &amp; SẢN PHẨM'!$L$13:$L$200,0)),0))</f>
        <v/>
      </c>
      <c r="M157" s="24" t="str">
        <f t="shared" si="29"/>
        <v/>
      </c>
      <c r="N157" s="24" t="str">
        <f>IF($B157="","",$F157*'DATA PHÍ &amp; SẢN PHẨM'!$B$4)</f>
        <v/>
      </c>
      <c r="O157" s="24" t="str">
        <f>IF($B157="","",'DATA PHÍ &amp; SẢN PHẨM'!$B$5)</f>
        <v/>
      </c>
      <c r="P157" s="24" t="str">
        <f t="shared" si="30"/>
        <v/>
      </c>
      <c r="Q157" s="25" t="str">
        <f t="shared" si="31"/>
        <v/>
      </c>
      <c r="R157" s="26" t="str">
        <f t="shared" si="32"/>
        <v/>
      </c>
      <c r="S157" s="27" t="str">
        <f t="shared" si="33"/>
        <v/>
      </c>
      <c r="T157" s="28" t="str">
        <f t="shared" si="34"/>
        <v/>
      </c>
      <c r="U157" s="19"/>
    </row>
    <row r="158" spans="1:21" ht="16.05" customHeight="1">
      <c r="A158" s="18"/>
      <c r="B158" s="19"/>
      <c r="C158" s="19"/>
      <c r="D158" s="20"/>
      <c r="E158" s="20"/>
      <c r="F158" s="21" t="str">
        <f t="shared" si="28"/>
        <v/>
      </c>
      <c r="G158" s="21" t="str">
        <f>IF($B158="","",IFERROR(INDEX('DATA PHÍ &amp; SẢN PHẨM'!$M$13:$M$200,MATCH($B158,'DATA PHÍ &amp; SẢN PHẨM'!$L$13:$L$200,0)),0))</f>
        <v/>
      </c>
      <c r="H158" s="22"/>
      <c r="I158" s="20"/>
      <c r="J158" s="20"/>
      <c r="K158" s="23" t="str">
        <f>IF($B158="","",IFERROR(INDEX('DATA PHÍ &amp; SẢN PHẨM'!$F$13:$F$200,MATCH($B158,'DATA PHÍ &amp; SẢN PHẨM'!$L$13:$L$200,0)),0))</f>
        <v/>
      </c>
      <c r="L158" s="23" t="str">
        <f>IF($B158="","",IFERROR(INDEX('DATA PHÍ &amp; SẢN PHẨM'!$G$13:$G$200,MATCH($B158,'DATA PHÍ &amp; SẢN PHẨM'!$L$13:$L$200,0)),0))</f>
        <v/>
      </c>
      <c r="M158" s="24" t="str">
        <f t="shared" si="29"/>
        <v/>
      </c>
      <c r="N158" s="24" t="str">
        <f>IF($B158="","",$F158*'DATA PHÍ &amp; SẢN PHẨM'!$B$4)</f>
        <v/>
      </c>
      <c r="O158" s="24" t="str">
        <f>IF($B158="","",'DATA PHÍ &amp; SẢN PHẨM'!$B$5)</f>
        <v/>
      </c>
      <c r="P158" s="24" t="str">
        <f t="shared" si="30"/>
        <v/>
      </c>
      <c r="Q158" s="25" t="str">
        <f t="shared" si="31"/>
        <v/>
      </c>
      <c r="R158" s="26" t="str">
        <f t="shared" si="32"/>
        <v/>
      </c>
      <c r="S158" s="27" t="str">
        <f t="shared" si="33"/>
        <v/>
      </c>
      <c r="T158" s="28" t="str">
        <f t="shared" si="34"/>
        <v/>
      </c>
      <c r="U158" s="19"/>
    </row>
    <row r="159" spans="1:21" ht="16.05" customHeight="1">
      <c r="A159" s="18"/>
      <c r="B159" s="19"/>
      <c r="C159" s="19"/>
      <c r="D159" s="20"/>
      <c r="E159" s="20"/>
      <c r="F159" s="21" t="str">
        <f t="shared" si="28"/>
        <v/>
      </c>
      <c r="G159" s="21" t="str">
        <f>IF($B159="","",IFERROR(INDEX('DATA PHÍ &amp; SẢN PHẨM'!$M$13:$M$200,MATCH($B159,'DATA PHÍ &amp; SẢN PHẨM'!$L$13:$L$200,0)),0))</f>
        <v/>
      </c>
      <c r="H159" s="22"/>
      <c r="I159" s="20"/>
      <c r="J159" s="20"/>
      <c r="K159" s="23" t="str">
        <f>IF($B159="","",IFERROR(INDEX('DATA PHÍ &amp; SẢN PHẨM'!$F$13:$F$200,MATCH($B159,'DATA PHÍ &amp; SẢN PHẨM'!$L$13:$L$200,0)),0))</f>
        <v/>
      </c>
      <c r="L159" s="23" t="str">
        <f>IF($B159="","",IFERROR(INDEX('DATA PHÍ &amp; SẢN PHẨM'!$G$13:$G$200,MATCH($B159,'DATA PHÍ &amp; SẢN PHẨM'!$L$13:$L$200,0)),0))</f>
        <v/>
      </c>
      <c r="M159" s="24" t="str">
        <f t="shared" si="29"/>
        <v/>
      </c>
      <c r="N159" s="24" t="str">
        <f>IF($B159="","",$F159*'DATA PHÍ &amp; SẢN PHẨM'!$B$4)</f>
        <v/>
      </c>
      <c r="O159" s="24" t="str">
        <f>IF($B159="","",'DATA PHÍ &amp; SẢN PHẨM'!$B$5)</f>
        <v/>
      </c>
      <c r="P159" s="24" t="str">
        <f t="shared" si="30"/>
        <v/>
      </c>
      <c r="Q159" s="25" t="str">
        <f t="shared" si="31"/>
        <v/>
      </c>
      <c r="R159" s="26" t="str">
        <f t="shared" si="32"/>
        <v/>
      </c>
      <c r="S159" s="27" t="str">
        <f t="shared" si="33"/>
        <v/>
      </c>
      <c r="T159" s="28" t="str">
        <f t="shared" si="34"/>
        <v/>
      </c>
      <c r="U159" s="19"/>
    </row>
    <row r="160" spans="1:21" ht="16.05" customHeight="1">
      <c r="A160" s="18"/>
      <c r="B160" s="19"/>
      <c r="C160" s="19"/>
      <c r="D160" s="20"/>
      <c r="E160" s="20"/>
      <c r="F160" s="21" t="str">
        <f t="shared" si="28"/>
        <v/>
      </c>
      <c r="G160" s="21" t="str">
        <f>IF($B160="","",IFERROR(INDEX('DATA PHÍ &amp; SẢN PHẨM'!$M$13:$M$200,MATCH($B160,'DATA PHÍ &amp; SẢN PHẨM'!$L$13:$L$200,0)),0))</f>
        <v/>
      </c>
      <c r="H160" s="22"/>
      <c r="I160" s="20"/>
      <c r="J160" s="20"/>
      <c r="K160" s="23" t="str">
        <f>IF($B160="","",IFERROR(INDEX('DATA PHÍ &amp; SẢN PHẨM'!$F$13:$F$200,MATCH($B160,'DATA PHÍ &amp; SẢN PHẨM'!$L$13:$L$200,0)),0))</f>
        <v/>
      </c>
      <c r="L160" s="23" t="str">
        <f>IF($B160="","",IFERROR(INDEX('DATA PHÍ &amp; SẢN PHẨM'!$G$13:$G$200,MATCH($B160,'DATA PHÍ &amp; SẢN PHẨM'!$L$13:$L$200,0)),0))</f>
        <v/>
      </c>
      <c r="M160" s="24" t="str">
        <f t="shared" si="29"/>
        <v/>
      </c>
      <c r="N160" s="24" t="str">
        <f>IF($B160="","",$F160*'DATA PHÍ &amp; SẢN PHẨM'!$B$4)</f>
        <v/>
      </c>
      <c r="O160" s="24" t="str">
        <f>IF($B160="","",'DATA PHÍ &amp; SẢN PHẨM'!$B$5)</f>
        <v/>
      </c>
      <c r="P160" s="24" t="str">
        <f t="shared" si="30"/>
        <v/>
      </c>
      <c r="Q160" s="25" t="str">
        <f t="shared" si="31"/>
        <v/>
      </c>
      <c r="R160" s="26" t="str">
        <f t="shared" si="32"/>
        <v/>
      </c>
      <c r="S160" s="27" t="str">
        <f t="shared" si="33"/>
        <v/>
      </c>
      <c r="T160" s="28" t="str">
        <f t="shared" si="34"/>
        <v/>
      </c>
      <c r="U160" s="19"/>
    </row>
    <row r="161" spans="1:21" ht="16.05" customHeight="1">
      <c r="A161" s="18"/>
      <c r="B161" s="19"/>
      <c r="C161" s="19"/>
      <c r="D161" s="20"/>
      <c r="E161" s="20"/>
      <c r="F161" s="21" t="str">
        <f t="shared" si="28"/>
        <v/>
      </c>
      <c r="G161" s="21" t="str">
        <f>IF($B161="","",IFERROR(INDEX('DATA PHÍ &amp; SẢN PHẨM'!$M$13:$M$200,MATCH($B161,'DATA PHÍ &amp; SẢN PHẨM'!$L$13:$L$200,0)),0))</f>
        <v/>
      </c>
      <c r="H161" s="22"/>
      <c r="I161" s="20"/>
      <c r="J161" s="20"/>
      <c r="K161" s="23" t="str">
        <f>IF($B161="","",IFERROR(INDEX('DATA PHÍ &amp; SẢN PHẨM'!$F$13:$F$200,MATCH($B161,'DATA PHÍ &amp; SẢN PHẨM'!$L$13:$L$200,0)),0))</f>
        <v/>
      </c>
      <c r="L161" s="23" t="str">
        <f>IF($B161="","",IFERROR(INDEX('DATA PHÍ &amp; SẢN PHẨM'!$G$13:$G$200,MATCH($B161,'DATA PHÍ &amp; SẢN PHẨM'!$L$13:$L$200,0)),0))</f>
        <v/>
      </c>
      <c r="M161" s="24" t="str">
        <f t="shared" si="29"/>
        <v/>
      </c>
      <c r="N161" s="24" t="str">
        <f>IF($B161="","",$F161*'DATA PHÍ &amp; SẢN PHẨM'!$B$4)</f>
        <v/>
      </c>
      <c r="O161" s="24" t="str">
        <f>IF($B161="","",'DATA PHÍ &amp; SẢN PHẨM'!$B$5)</f>
        <v/>
      </c>
      <c r="P161" s="24" t="str">
        <f t="shared" si="30"/>
        <v/>
      </c>
      <c r="Q161" s="25" t="str">
        <f t="shared" si="31"/>
        <v/>
      </c>
      <c r="R161" s="26" t="str">
        <f t="shared" si="32"/>
        <v/>
      </c>
      <c r="S161" s="27" t="str">
        <f t="shared" si="33"/>
        <v/>
      </c>
      <c r="T161" s="28" t="str">
        <f t="shared" si="34"/>
        <v/>
      </c>
      <c r="U161" s="19"/>
    </row>
    <row r="162" spans="1:21" ht="16.05" customHeight="1">
      <c r="A162" s="18"/>
      <c r="B162" s="19"/>
      <c r="C162" s="19"/>
      <c r="D162" s="20"/>
      <c r="E162" s="20"/>
      <c r="F162" s="21" t="str">
        <f t="shared" si="28"/>
        <v/>
      </c>
      <c r="G162" s="21" t="str">
        <f>IF($B162="","",IFERROR(INDEX('DATA PHÍ &amp; SẢN PHẨM'!$M$13:$M$200,MATCH($B162,'DATA PHÍ &amp; SẢN PHẨM'!$L$13:$L$200,0)),0))</f>
        <v/>
      </c>
      <c r="H162" s="22"/>
      <c r="I162" s="20"/>
      <c r="J162" s="20"/>
      <c r="K162" s="23" t="str">
        <f>IF($B162="","",IFERROR(INDEX('DATA PHÍ &amp; SẢN PHẨM'!$F$13:$F$200,MATCH($B162,'DATA PHÍ &amp; SẢN PHẨM'!$L$13:$L$200,0)),0))</f>
        <v/>
      </c>
      <c r="L162" s="23" t="str">
        <f>IF($B162="","",IFERROR(INDEX('DATA PHÍ &amp; SẢN PHẨM'!$G$13:$G$200,MATCH($B162,'DATA PHÍ &amp; SẢN PHẨM'!$L$13:$L$200,0)),0))</f>
        <v/>
      </c>
      <c r="M162" s="24" t="str">
        <f t="shared" si="29"/>
        <v/>
      </c>
      <c r="N162" s="24" t="str">
        <f>IF($B162="","",$F162*'DATA PHÍ &amp; SẢN PHẨM'!$B$4)</f>
        <v/>
      </c>
      <c r="O162" s="24" t="str">
        <f>IF($B162="","",'DATA PHÍ &amp; SẢN PHẨM'!$B$5)</f>
        <v/>
      </c>
      <c r="P162" s="24" t="str">
        <f t="shared" si="30"/>
        <v/>
      </c>
      <c r="Q162" s="25" t="str">
        <f t="shared" si="31"/>
        <v/>
      </c>
      <c r="R162" s="26" t="str">
        <f t="shared" si="32"/>
        <v/>
      </c>
      <c r="S162" s="27" t="str">
        <f t="shared" si="33"/>
        <v/>
      </c>
      <c r="T162" s="28" t="str">
        <f t="shared" si="34"/>
        <v/>
      </c>
      <c r="U162" s="19"/>
    </row>
    <row r="163" spans="1:21" ht="16.05" customHeight="1">
      <c r="A163" s="18"/>
      <c r="B163" s="19"/>
      <c r="C163" s="19"/>
      <c r="D163" s="20"/>
      <c r="E163" s="20"/>
      <c r="F163" s="21" t="str">
        <f t="shared" si="28"/>
        <v/>
      </c>
      <c r="G163" s="21" t="str">
        <f>IF($B163="","",IFERROR(INDEX('DATA PHÍ &amp; SẢN PHẨM'!$M$13:$M$200,MATCH($B163,'DATA PHÍ &amp; SẢN PHẨM'!$L$13:$L$200,0)),0))</f>
        <v/>
      </c>
      <c r="H163" s="22"/>
      <c r="I163" s="20"/>
      <c r="J163" s="20"/>
      <c r="K163" s="23" t="str">
        <f>IF($B163="","",IFERROR(INDEX('DATA PHÍ &amp; SẢN PHẨM'!$F$13:$F$200,MATCH($B163,'DATA PHÍ &amp; SẢN PHẨM'!$L$13:$L$200,0)),0))</f>
        <v/>
      </c>
      <c r="L163" s="23" t="str">
        <f>IF($B163="","",IFERROR(INDEX('DATA PHÍ &amp; SẢN PHẨM'!$G$13:$G$200,MATCH($B163,'DATA PHÍ &amp; SẢN PHẨM'!$L$13:$L$200,0)),0))</f>
        <v/>
      </c>
      <c r="M163" s="24" t="str">
        <f t="shared" si="29"/>
        <v/>
      </c>
      <c r="N163" s="24" t="str">
        <f>IF($B163="","",$F163*'DATA PHÍ &amp; SẢN PHẨM'!$B$4)</f>
        <v/>
      </c>
      <c r="O163" s="24" t="str">
        <f>IF($B163="","",'DATA PHÍ &amp; SẢN PHẨM'!$B$5)</f>
        <v/>
      </c>
      <c r="P163" s="24" t="str">
        <f t="shared" si="30"/>
        <v/>
      </c>
      <c r="Q163" s="25" t="str">
        <f t="shared" si="31"/>
        <v/>
      </c>
      <c r="R163" s="26" t="str">
        <f t="shared" si="32"/>
        <v/>
      </c>
      <c r="S163" s="27" t="str">
        <f t="shared" si="33"/>
        <v/>
      </c>
      <c r="T163" s="28" t="str">
        <f t="shared" si="34"/>
        <v/>
      </c>
      <c r="U163" s="19"/>
    </row>
    <row r="164" spans="1:21" ht="16.05" customHeight="1">
      <c r="A164" s="18"/>
      <c r="B164" s="19"/>
      <c r="C164" s="19"/>
      <c r="D164" s="20"/>
      <c r="E164" s="20"/>
      <c r="F164" s="21" t="str">
        <f t="shared" si="28"/>
        <v/>
      </c>
      <c r="G164" s="21" t="str">
        <f>IF($B164="","",IFERROR(INDEX('DATA PHÍ &amp; SẢN PHẨM'!$M$13:$M$200,MATCH($B164,'DATA PHÍ &amp; SẢN PHẨM'!$L$13:$L$200,0)),0))</f>
        <v/>
      </c>
      <c r="H164" s="22"/>
      <c r="I164" s="20"/>
      <c r="J164" s="20"/>
      <c r="K164" s="23" t="str">
        <f>IF($B164="","",IFERROR(INDEX('DATA PHÍ &amp; SẢN PHẨM'!$F$13:$F$200,MATCH($B164,'DATA PHÍ &amp; SẢN PHẨM'!$L$13:$L$200,0)),0))</f>
        <v/>
      </c>
      <c r="L164" s="23" t="str">
        <f>IF($B164="","",IFERROR(INDEX('DATA PHÍ &amp; SẢN PHẨM'!$G$13:$G$200,MATCH($B164,'DATA PHÍ &amp; SẢN PHẨM'!$L$13:$L$200,0)),0))</f>
        <v/>
      </c>
      <c r="M164" s="24" t="str">
        <f t="shared" si="29"/>
        <v/>
      </c>
      <c r="N164" s="24" t="str">
        <f>IF($B164="","",$F164*'DATA PHÍ &amp; SẢN PHẨM'!$B$4)</f>
        <v/>
      </c>
      <c r="O164" s="24" t="str">
        <f>IF($B164="","",'DATA PHÍ &amp; SẢN PHẨM'!$B$5)</f>
        <v/>
      </c>
      <c r="P164" s="24" t="str">
        <f t="shared" si="30"/>
        <v/>
      </c>
      <c r="Q164" s="25" t="str">
        <f t="shared" si="31"/>
        <v/>
      </c>
      <c r="R164" s="26" t="str">
        <f t="shared" si="32"/>
        <v/>
      </c>
      <c r="S164" s="27" t="str">
        <f t="shared" si="33"/>
        <v/>
      </c>
      <c r="T164" s="28" t="str">
        <f t="shared" si="34"/>
        <v/>
      </c>
      <c r="U164" s="19"/>
    </row>
    <row r="165" spans="1:21" ht="16.05" customHeight="1">
      <c r="A165" s="18"/>
      <c r="B165" s="19"/>
      <c r="C165" s="19"/>
      <c r="D165" s="20"/>
      <c r="E165" s="20"/>
      <c r="F165" s="21" t="str">
        <f t="shared" si="28"/>
        <v/>
      </c>
      <c r="G165" s="21" t="str">
        <f>IF($B165="","",IFERROR(INDEX('DATA PHÍ &amp; SẢN PHẨM'!$M$13:$M$200,MATCH($B165,'DATA PHÍ &amp; SẢN PHẨM'!$L$13:$L$200,0)),0))</f>
        <v/>
      </c>
      <c r="H165" s="22"/>
      <c r="I165" s="20"/>
      <c r="J165" s="20"/>
      <c r="K165" s="23" t="str">
        <f>IF($B165="","",IFERROR(INDEX('DATA PHÍ &amp; SẢN PHẨM'!$F$13:$F$200,MATCH($B165,'DATA PHÍ &amp; SẢN PHẨM'!$L$13:$L$200,0)),0))</f>
        <v/>
      </c>
      <c r="L165" s="23" t="str">
        <f>IF($B165="","",IFERROR(INDEX('DATA PHÍ &amp; SẢN PHẨM'!$G$13:$G$200,MATCH($B165,'DATA PHÍ &amp; SẢN PHẨM'!$L$13:$L$200,0)),0))</f>
        <v/>
      </c>
      <c r="M165" s="24" t="str">
        <f t="shared" si="29"/>
        <v/>
      </c>
      <c r="N165" s="24" t="str">
        <f>IF($B165="","",$F165*'DATA PHÍ &amp; SẢN PHẨM'!$B$4)</f>
        <v/>
      </c>
      <c r="O165" s="24" t="str">
        <f>IF($B165="","",'DATA PHÍ &amp; SẢN PHẨM'!$B$5)</f>
        <v/>
      </c>
      <c r="P165" s="24" t="str">
        <f t="shared" si="30"/>
        <v/>
      </c>
      <c r="Q165" s="25" t="str">
        <f t="shared" si="31"/>
        <v/>
      </c>
      <c r="R165" s="26" t="str">
        <f t="shared" si="32"/>
        <v/>
      </c>
      <c r="S165" s="27" t="str">
        <f t="shared" si="33"/>
        <v/>
      </c>
      <c r="T165" s="28" t="str">
        <f t="shared" si="34"/>
        <v/>
      </c>
      <c r="U165" s="19"/>
    </row>
    <row r="166" spans="1:21" ht="16.05" customHeight="1">
      <c r="A166" s="18"/>
      <c r="B166" s="19"/>
      <c r="C166" s="19"/>
      <c r="D166" s="20"/>
      <c r="E166" s="20"/>
      <c r="F166" s="21" t="str">
        <f t="shared" si="28"/>
        <v/>
      </c>
      <c r="G166" s="21" t="str">
        <f>IF($B166="","",IFERROR(INDEX('DATA PHÍ &amp; SẢN PHẨM'!$M$13:$M$200,MATCH($B166,'DATA PHÍ &amp; SẢN PHẨM'!$L$13:$L$200,0)),0))</f>
        <v/>
      </c>
      <c r="H166" s="22"/>
      <c r="I166" s="20"/>
      <c r="J166" s="20"/>
      <c r="K166" s="23" t="str">
        <f>IF($B166="","",IFERROR(INDEX('DATA PHÍ &amp; SẢN PHẨM'!$F$13:$F$200,MATCH($B166,'DATA PHÍ &amp; SẢN PHẨM'!$L$13:$L$200,0)),0))</f>
        <v/>
      </c>
      <c r="L166" s="23" t="str">
        <f>IF($B166="","",IFERROR(INDEX('DATA PHÍ &amp; SẢN PHẨM'!$G$13:$G$200,MATCH($B166,'DATA PHÍ &amp; SẢN PHẨM'!$L$13:$L$200,0)),0))</f>
        <v/>
      </c>
      <c r="M166" s="24" t="str">
        <f t="shared" si="29"/>
        <v/>
      </c>
      <c r="N166" s="24" t="str">
        <f>IF($B166="","",$F166*'DATA PHÍ &amp; SẢN PHẨM'!$B$4)</f>
        <v/>
      </c>
      <c r="O166" s="24" t="str">
        <f>IF($B166="","",'DATA PHÍ &amp; SẢN PHẨM'!$B$5)</f>
        <v/>
      </c>
      <c r="P166" s="24" t="str">
        <f t="shared" si="30"/>
        <v/>
      </c>
      <c r="Q166" s="25" t="str">
        <f t="shared" si="31"/>
        <v/>
      </c>
      <c r="R166" s="26" t="str">
        <f t="shared" si="32"/>
        <v/>
      </c>
      <c r="S166" s="27" t="str">
        <f t="shared" si="33"/>
        <v/>
      </c>
      <c r="T166" s="28" t="str">
        <f t="shared" si="34"/>
        <v/>
      </c>
      <c r="U166" s="19"/>
    </row>
    <row r="167" spans="1:21" ht="16.05" customHeight="1">
      <c r="A167" s="18"/>
      <c r="B167" s="19"/>
      <c r="C167" s="19"/>
      <c r="D167" s="20"/>
      <c r="E167" s="20"/>
      <c r="F167" s="21" t="str">
        <f t="shared" si="28"/>
        <v/>
      </c>
      <c r="G167" s="21" t="str">
        <f>IF($B167="","",IFERROR(INDEX('DATA PHÍ &amp; SẢN PHẨM'!$M$13:$M$200,MATCH($B167,'DATA PHÍ &amp; SẢN PHẨM'!$L$13:$L$200,0)),0))</f>
        <v/>
      </c>
      <c r="H167" s="22"/>
      <c r="I167" s="20"/>
      <c r="J167" s="20"/>
      <c r="K167" s="23" t="str">
        <f>IF($B167="","",IFERROR(INDEX('DATA PHÍ &amp; SẢN PHẨM'!$F$13:$F$200,MATCH($B167,'DATA PHÍ &amp; SẢN PHẨM'!$L$13:$L$200,0)),0))</f>
        <v/>
      </c>
      <c r="L167" s="23" t="str">
        <f>IF($B167="","",IFERROR(INDEX('DATA PHÍ &amp; SẢN PHẨM'!$G$13:$G$200,MATCH($B167,'DATA PHÍ &amp; SẢN PHẨM'!$L$13:$L$200,0)),0))</f>
        <v/>
      </c>
      <c r="M167" s="24" t="str">
        <f t="shared" si="29"/>
        <v/>
      </c>
      <c r="N167" s="24" t="str">
        <f>IF($B167="","",$F167*'DATA PHÍ &amp; SẢN PHẨM'!$B$4)</f>
        <v/>
      </c>
      <c r="O167" s="24" t="str">
        <f>IF($B167="","",'DATA PHÍ &amp; SẢN PHẨM'!$B$5)</f>
        <v/>
      </c>
      <c r="P167" s="24" t="str">
        <f t="shared" si="30"/>
        <v/>
      </c>
      <c r="Q167" s="25" t="str">
        <f t="shared" si="31"/>
        <v/>
      </c>
      <c r="R167" s="26" t="str">
        <f t="shared" si="32"/>
        <v/>
      </c>
      <c r="S167" s="27" t="str">
        <f t="shared" si="33"/>
        <v/>
      </c>
      <c r="T167" s="28" t="str">
        <f t="shared" si="34"/>
        <v/>
      </c>
      <c r="U167" s="19"/>
    </row>
    <row r="168" spans="1:21" ht="16.05" customHeight="1">
      <c r="A168" s="18"/>
      <c r="B168" s="19"/>
      <c r="C168" s="19"/>
      <c r="D168" s="20"/>
      <c r="E168" s="20"/>
      <c r="F168" s="21" t="str">
        <f t="shared" si="28"/>
        <v/>
      </c>
      <c r="G168" s="21" t="str">
        <f>IF($B168="","",IFERROR(INDEX('DATA PHÍ &amp; SẢN PHẨM'!$M$13:$M$200,MATCH($B168,'DATA PHÍ &amp; SẢN PHẨM'!$L$13:$L$200,0)),0))</f>
        <v/>
      </c>
      <c r="H168" s="22"/>
      <c r="I168" s="20"/>
      <c r="J168" s="20"/>
      <c r="K168" s="23" t="str">
        <f>IF($B168="","",IFERROR(INDEX('DATA PHÍ &amp; SẢN PHẨM'!$F$13:$F$200,MATCH($B168,'DATA PHÍ &amp; SẢN PHẨM'!$L$13:$L$200,0)),0))</f>
        <v/>
      </c>
      <c r="L168" s="23" t="str">
        <f>IF($B168="","",IFERROR(INDEX('DATA PHÍ &amp; SẢN PHẨM'!$G$13:$G$200,MATCH($B168,'DATA PHÍ &amp; SẢN PHẨM'!$L$13:$L$200,0)),0))</f>
        <v/>
      </c>
      <c r="M168" s="24" t="str">
        <f t="shared" si="29"/>
        <v/>
      </c>
      <c r="N168" s="24" t="str">
        <f>IF($B168="","",$F168*'DATA PHÍ &amp; SẢN PHẨM'!$B$4)</f>
        <v/>
      </c>
      <c r="O168" s="24" t="str">
        <f>IF($B168="","",'DATA PHÍ &amp; SẢN PHẨM'!$B$5)</f>
        <v/>
      </c>
      <c r="P168" s="24" t="str">
        <f t="shared" si="30"/>
        <v/>
      </c>
      <c r="Q168" s="25" t="str">
        <f t="shared" si="31"/>
        <v/>
      </c>
      <c r="R168" s="26" t="str">
        <f t="shared" si="32"/>
        <v/>
      </c>
      <c r="S168" s="27" t="str">
        <f t="shared" si="33"/>
        <v/>
      </c>
      <c r="T168" s="28" t="str">
        <f t="shared" si="34"/>
        <v/>
      </c>
      <c r="U168" s="19"/>
    </row>
    <row r="169" spans="1:21" ht="16.05" customHeight="1">
      <c r="A169" s="18"/>
      <c r="B169" s="19"/>
      <c r="C169" s="19"/>
      <c r="D169" s="20"/>
      <c r="E169" s="20"/>
      <c r="F169" s="21" t="str">
        <f t="shared" si="28"/>
        <v/>
      </c>
      <c r="G169" s="21" t="str">
        <f>IF($B169="","",IFERROR(INDEX('DATA PHÍ &amp; SẢN PHẨM'!$M$13:$M$200,MATCH($B169,'DATA PHÍ &amp; SẢN PHẨM'!$L$13:$L$200,0)),0))</f>
        <v/>
      </c>
      <c r="H169" s="22"/>
      <c r="I169" s="20"/>
      <c r="J169" s="20"/>
      <c r="K169" s="23" t="str">
        <f>IF($B169="","",IFERROR(INDEX('DATA PHÍ &amp; SẢN PHẨM'!$F$13:$F$200,MATCH($B169,'DATA PHÍ &amp; SẢN PHẨM'!$L$13:$L$200,0)),0))</f>
        <v/>
      </c>
      <c r="L169" s="23" t="str">
        <f>IF($B169="","",IFERROR(INDEX('DATA PHÍ &amp; SẢN PHẨM'!$G$13:$G$200,MATCH($B169,'DATA PHÍ &amp; SẢN PHẨM'!$L$13:$L$200,0)),0))</f>
        <v/>
      </c>
      <c r="M169" s="24" t="str">
        <f t="shared" si="29"/>
        <v/>
      </c>
      <c r="N169" s="24" t="str">
        <f>IF($B169="","",$F169*'DATA PHÍ &amp; SẢN PHẨM'!$B$4)</f>
        <v/>
      </c>
      <c r="O169" s="24" t="str">
        <f>IF($B169="","",'DATA PHÍ &amp; SẢN PHẨM'!$B$5)</f>
        <v/>
      </c>
      <c r="P169" s="24" t="str">
        <f t="shared" si="30"/>
        <v/>
      </c>
      <c r="Q169" s="25" t="str">
        <f t="shared" si="31"/>
        <v/>
      </c>
      <c r="R169" s="26" t="str">
        <f t="shared" si="32"/>
        <v/>
      </c>
      <c r="S169" s="27" t="str">
        <f t="shared" si="33"/>
        <v/>
      </c>
      <c r="T169" s="28" t="str">
        <f t="shared" si="34"/>
        <v/>
      </c>
      <c r="U169" s="19"/>
    </row>
    <row r="170" spans="1:21" ht="16.05" customHeight="1">
      <c r="A170" s="18"/>
      <c r="B170" s="19"/>
      <c r="C170" s="19"/>
      <c r="D170" s="20"/>
      <c r="E170" s="20"/>
      <c r="F170" s="21" t="str">
        <f t="shared" si="28"/>
        <v/>
      </c>
      <c r="G170" s="21" t="str">
        <f>IF($B170="","",IFERROR(INDEX('DATA PHÍ &amp; SẢN PHẨM'!$M$13:$M$200,MATCH($B170,'DATA PHÍ &amp; SẢN PHẨM'!$L$13:$L$200,0)),0))</f>
        <v/>
      </c>
      <c r="H170" s="22"/>
      <c r="I170" s="20"/>
      <c r="J170" s="20"/>
      <c r="K170" s="23" t="str">
        <f>IF($B170="","",IFERROR(INDEX('DATA PHÍ &amp; SẢN PHẨM'!$F$13:$F$200,MATCH($B170,'DATA PHÍ &amp; SẢN PHẨM'!$L$13:$L$200,0)),0))</f>
        <v/>
      </c>
      <c r="L170" s="23" t="str">
        <f>IF($B170="","",IFERROR(INDEX('DATA PHÍ &amp; SẢN PHẨM'!$G$13:$G$200,MATCH($B170,'DATA PHÍ &amp; SẢN PHẨM'!$L$13:$L$200,0)),0))</f>
        <v/>
      </c>
      <c r="M170" s="24" t="str">
        <f t="shared" si="29"/>
        <v/>
      </c>
      <c r="N170" s="24" t="str">
        <f>IF($B170="","",$F170*'DATA PHÍ &amp; SẢN PHẨM'!$B$4)</f>
        <v/>
      </c>
      <c r="O170" s="24" t="str">
        <f>IF($B170="","",'DATA PHÍ &amp; SẢN PHẨM'!$B$5)</f>
        <v/>
      </c>
      <c r="P170" s="24" t="str">
        <f t="shared" si="30"/>
        <v/>
      </c>
      <c r="Q170" s="25" t="str">
        <f t="shared" si="31"/>
        <v/>
      </c>
      <c r="R170" s="26" t="str">
        <f t="shared" si="32"/>
        <v/>
      </c>
      <c r="S170" s="27" t="str">
        <f t="shared" si="33"/>
        <v/>
      </c>
      <c r="T170" s="28" t="str">
        <f t="shared" si="34"/>
        <v/>
      </c>
      <c r="U170" s="19"/>
    </row>
    <row r="171" spans="1:21" ht="16.05" customHeight="1">
      <c r="A171" s="18"/>
      <c r="B171" s="19"/>
      <c r="C171" s="19"/>
      <c r="D171" s="20"/>
      <c r="E171" s="20"/>
      <c r="F171" s="21" t="str">
        <f t="shared" ref="F171:F200" si="35">IF($B171="","",$D171-$E171)</f>
        <v/>
      </c>
      <c r="G171" s="21" t="str">
        <f>IF($B171="","",IFERROR(INDEX('DATA PHÍ &amp; SẢN PHẨM'!$M$13:$M$200,MATCH($B171,'DATA PHÍ &amp; SẢN PHẨM'!$L$13:$L$200,0)),0))</f>
        <v/>
      </c>
      <c r="H171" s="22"/>
      <c r="I171" s="20"/>
      <c r="J171" s="20"/>
      <c r="K171" s="23" t="str">
        <f>IF($B171="","",IFERROR(INDEX('DATA PHÍ &amp; SẢN PHẨM'!$F$13:$F$200,MATCH($B171,'DATA PHÍ &amp; SẢN PHẨM'!$L$13:$L$200,0)),0))</f>
        <v/>
      </c>
      <c r="L171" s="23" t="str">
        <f>IF($B171="","",IFERROR(INDEX('DATA PHÍ &amp; SẢN PHẨM'!$G$13:$G$200,MATCH($B171,'DATA PHÍ &amp; SẢN PHẨM'!$L$13:$L$200,0)),0))</f>
        <v/>
      </c>
      <c r="M171" s="24" t="str">
        <f t="shared" ref="M171:M200" si="36">IF($B171="","",$F171*IF($C171="Mall",$L171,$K171))</f>
        <v/>
      </c>
      <c r="N171" s="24" t="str">
        <f>IF($B171="","",$F171*'DATA PHÍ &amp; SẢN PHẨM'!$B$4)</f>
        <v/>
      </c>
      <c r="O171" s="24" t="str">
        <f>IF($B171="","",'DATA PHÍ &amp; SẢN PHẨM'!$B$5)</f>
        <v/>
      </c>
      <c r="P171" s="24" t="str">
        <f t="shared" ref="P171:P200" si="37">IF($B171="","",SUM(M171:O171))</f>
        <v/>
      </c>
      <c r="Q171" s="25" t="str">
        <f t="shared" ref="Q171:Q200" si="38">IF($B171="","",SUM(G171,I171,J171,P171)+($F171*$H171))</f>
        <v/>
      </c>
      <c r="R171" s="26" t="str">
        <f t="shared" ref="R171:R200" si="39">IF($B171="","",$F171-$Q171)</f>
        <v/>
      </c>
      <c r="S171" s="27" t="str">
        <f t="shared" ref="S171:S200" si="40">IF($B171="","",IFERROR($R171/$F171,0))</f>
        <v/>
      </c>
      <c r="T171" s="28" t="str">
        <f t="shared" ref="T171:T200" si="41">IF($B171="","",IF($R171&lt;0,"LỖ",IF($S171&lt;0.05,"RẤT NGUY HIỂM",IF($S171&lt;0.1,"LÃI THẤP",IF($S171&lt;0.2,"ỔN","TỐT")))))</f>
        <v/>
      </c>
      <c r="U171" s="19"/>
    </row>
    <row r="172" spans="1:21" ht="16.05" customHeight="1">
      <c r="A172" s="18"/>
      <c r="B172" s="19"/>
      <c r="C172" s="19"/>
      <c r="D172" s="20"/>
      <c r="E172" s="20"/>
      <c r="F172" s="21" t="str">
        <f t="shared" si="35"/>
        <v/>
      </c>
      <c r="G172" s="21" t="str">
        <f>IF($B172="","",IFERROR(INDEX('DATA PHÍ &amp; SẢN PHẨM'!$M$13:$M$200,MATCH($B172,'DATA PHÍ &amp; SẢN PHẨM'!$L$13:$L$200,0)),0))</f>
        <v/>
      </c>
      <c r="H172" s="22"/>
      <c r="I172" s="20"/>
      <c r="J172" s="20"/>
      <c r="K172" s="23" t="str">
        <f>IF($B172="","",IFERROR(INDEX('DATA PHÍ &amp; SẢN PHẨM'!$F$13:$F$200,MATCH($B172,'DATA PHÍ &amp; SẢN PHẨM'!$L$13:$L$200,0)),0))</f>
        <v/>
      </c>
      <c r="L172" s="23" t="str">
        <f>IF($B172="","",IFERROR(INDEX('DATA PHÍ &amp; SẢN PHẨM'!$G$13:$G$200,MATCH($B172,'DATA PHÍ &amp; SẢN PHẨM'!$L$13:$L$200,0)),0))</f>
        <v/>
      </c>
      <c r="M172" s="24" t="str">
        <f t="shared" si="36"/>
        <v/>
      </c>
      <c r="N172" s="24" t="str">
        <f>IF($B172="","",$F172*'DATA PHÍ &amp; SẢN PHẨM'!$B$4)</f>
        <v/>
      </c>
      <c r="O172" s="24" t="str">
        <f>IF($B172="","",'DATA PHÍ &amp; SẢN PHẨM'!$B$5)</f>
        <v/>
      </c>
      <c r="P172" s="24" t="str">
        <f t="shared" si="37"/>
        <v/>
      </c>
      <c r="Q172" s="25" t="str">
        <f t="shared" si="38"/>
        <v/>
      </c>
      <c r="R172" s="26" t="str">
        <f t="shared" si="39"/>
        <v/>
      </c>
      <c r="S172" s="27" t="str">
        <f t="shared" si="40"/>
        <v/>
      </c>
      <c r="T172" s="28" t="str">
        <f t="shared" si="41"/>
        <v/>
      </c>
      <c r="U172" s="19"/>
    </row>
    <row r="173" spans="1:21" ht="16.05" customHeight="1">
      <c r="A173" s="18"/>
      <c r="B173" s="19"/>
      <c r="C173" s="19"/>
      <c r="D173" s="20"/>
      <c r="E173" s="20"/>
      <c r="F173" s="21" t="str">
        <f t="shared" si="35"/>
        <v/>
      </c>
      <c r="G173" s="21" t="str">
        <f>IF($B173="","",IFERROR(INDEX('DATA PHÍ &amp; SẢN PHẨM'!$M$13:$M$200,MATCH($B173,'DATA PHÍ &amp; SẢN PHẨM'!$L$13:$L$200,0)),0))</f>
        <v/>
      </c>
      <c r="H173" s="22"/>
      <c r="I173" s="20"/>
      <c r="J173" s="20"/>
      <c r="K173" s="23" t="str">
        <f>IF($B173="","",IFERROR(INDEX('DATA PHÍ &amp; SẢN PHẨM'!$F$13:$F$200,MATCH($B173,'DATA PHÍ &amp; SẢN PHẨM'!$L$13:$L$200,0)),0))</f>
        <v/>
      </c>
      <c r="L173" s="23" t="str">
        <f>IF($B173="","",IFERROR(INDEX('DATA PHÍ &amp; SẢN PHẨM'!$G$13:$G$200,MATCH($B173,'DATA PHÍ &amp; SẢN PHẨM'!$L$13:$L$200,0)),0))</f>
        <v/>
      </c>
      <c r="M173" s="24" t="str">
        <f t="shared" si="36"/>
        <v/>
      </c>
      <c r="N173" s="24" t="str">
        <f>IF($B173="","",$F173*'DATA PHÍ &amp; SẢN PHẨM'!$B$4)</f>
        <v/>
      </c>
      <c r="O173" s="24" t="str">
        <f>IF($B173="","",'DATA PHÍ &amp; SẢN PHẨM'!$B$5)</f>
        <v/>
      </c>
      <c r="P173" s="24" t="str">
        <f t="shared" si="37"/>
        <v/>
      </c>
      <c r="Q173" s="25" t="str">
        <f t="shared" si="38"/>
        <v/>
      </c>
      <c r="R173" s="26" t="str">
        <f t="shared" si="39"/>
        <v/>
      </c>
      <c r="S173" s="27" t="str">
        <f t="shared" si="40"/>
        <v/>
      </c>
      <c r="T173" s="28" t="str">
        <f t="shared" si="41"/>
        <v/>
      </c>
      <c r="U173" s="19"/>
    </row>
    <row r="174" spans="1:21" ht="16.05" customHeight="1">
      <c r="A174" s="18"/>
      <c r="B174" s="19"/>
      <c r="C174" s="19"/>
      <c r="D174" s="20"/>
      <c r="E174" s="20"/>
      <c r="F174" s="21" t="str">
        <f t="shared" si="35"/>
        <v/>
      </c>
      <c r="G174" s="21" t="str">
        <f>IF($B174="","",IFERROR(INDEX('DATA PHÍ &amp; SẢN PHẨM'!$M$13:$M$200,MATCH($B174,'DATA PHÍ &amp; SẢN PHẨM'!$L$13:$L$200,0)),0))</f>
        <v/>
      </c>
      <c r="H174" s="22"/>
      <c r="I174" s="20"/>
      <c r="J174" s="20"/>
      <c r="K174" s="23" t="str">
        <f>IF($B174="","",IFERROR(INDEX('DATA PHÍ &amp; SẢN PHẨM'!$F$13:$F$200,MATCH($B174,'DATA PHÍ &amp; SẢN PHẨM'!$L$13:$L$200,0)),0))</f>
        <v/>
      </c>
      <c r="L174" s="23" t="str">
        <f>IF($B174="","",IFERROR(INDEX('DATA PHÍ &amp; SẢN PHẨM'!$G$13:$G$200,MATCH($B174,'DATA PHÍ &amp; SẢN PHẨM'!$L$13:$L$200,0)),0))</f>
        <v/>
      </c>
      <c r="M174" s="24" t="str">
        <f t="shared" si="36"/>
        <v/>
      </c>
      <c r="N174" s="24" t="str">
        <f>IF($B174="","",$F174*'DATA PHÍ &amp; SẢN PHẨM'!$B$4)</f>
        <v/>
      </c>
      <c r="O174" s="24" t="str">
        <f>IF($B174="","",'DATA PHÍ &amp; SẢN PHẨM'!$B$5)</f>
        <v/>
      </c>
      <c r="P174" s="24" t="str">
        <f t="shared" si="37"/>
        <v/>
      </c>
      <c r="Q174" s="25" t="str">
        <f t="shared" si="38"/>
        <v/>
      </c>
      <c r="R174" s="26" t="str">
        <f t="shared" si="39"/>
        <v/>
      </c>
      <c r="S174" s="27" t="str">
        <f t="shared" si="40"/>
        <v/>
      </c>
      <c r="T174" s="28" t="str">
        <f t="shared" si="41"/>
        <v/>
      </c>
      <c r="U174" s="19"/>
    </row>
    <row r="175" spans="1:21" ht="16.05" customHeight="1">
      <c r="A175" s="18"/>
      <c r="B175" s="19"/>
      <c r="C175" s="19"/>
      <c r="D175" s="20"/>
      <c r="E175" s="20"/>
      <c r="F175" s="21" t="str">
        <f t="shared" si="35"/>
        <v/>
      </c>
      <c r="G175" s="21" t="str">
        <f>IF($B175="","",IFERROR(INDEX('DATA PHÍ &amp; SẢN PHẨM'!$M$13:$M$200,MATCH($B175,'DATA PHÍ &amp; SẢN PHẨM'!$L$13:$L$200,0)),0))</f>
        <v/>
      </c>
      <c r="H175" s="22"/>
      <c r="I175" s="20"/>
      <c r="J175" s="20"/>
      <c r="K175" s="23" t="str">
        <f>IF($B175="","",IFERROR(INDEX('DATA PHÍ &amp; SẢN PHẨM'!$F$13:$F$200,MATCH($B175,'DATA PHÍ &amp; SẢN PHẨM'!$L$13:$L$200,0)),0))</f>
        <v/>
      </c>
      <c r="L175" s="23" t="str">
        <f>IF($B175="","",IFERROR(INDEX('DATA PHÍ &amp; SẢN PHẨM'!$G$13:$G$200,MATCH($B175,'DATA PHÍ &amp; SẢN PHẨM'!$L$13:$L$200,0)),0))</f>
        <v/>
      </c>
      <c r="M175" s="24" t="str">
        <f t="shared" si="36"/>
        <v/>
      </c>
      <c r="N175" s="24" t="str">
        <f>IF($B175="","",$F175*'DATA PHÍ &amp; SẢN PHẨM'!$B$4)</f>
        <v/>
      </c>
      <c r="O175" s="24" t="str">
        <f>IF($B175="","",'DATA PHÍ &amp; SẢN PHẨM'!$B$5)</f>
        <v/>
      </c>
      <c r="P175" s="24" t="str">
        <f t="shared" si="37"/>
        <v/>
      </c>
      <c r="Q175" s="25" t="str">
        <f t="shared" si="38"/>
        <v/>
      </c>
      <c r="R175" s="26" t="str">
        <f t="shared" si="39"/>
        <v/>
      </c>
      <c r="S175" s="27" t="str">
        <f t="shared" si="40"/>
        <v/>
      </c>
      <c r="T175" s="28" t="str">
        <f t="shared" si="41"/>
        <v/>
      </c>
      <c r="U175" s="19"/>
    </row>
    <row r="176" spans="1:21" ht="16.05" customHeight="1">
      <c r="A176" s="18"/>
      <c r="B176" s="19"/>
      <c r="C176" s="19"/>
      <c r="D176" s="20"/>
      <c r="E176" s="20"/>
      <c r="F176" s="21" t="str">
        <f t="shared" si="35"/>
        <v/>
      </c>
      <c r="G176" s="21" t="str">
        <f>IF($B176="","",IFERROR(INDEX('DATA PHÍ &amp; SẢN PHẨM'!$M$13:$M$200,MATCH($B176,'DATA PHÍ &amp; SẢN PHẨM'!$L$13:$L$200,0)),0))</f>
        <v/>
      </c>
      <c r="H176" s="22"/>
      <c r="I176" s="20"/>
      <c r="J176" s="20"/>
      <c r="K176" s="23" t="str">
        <f>IF($B176="","",IFERROR(INDEX('DATA PHÍ &amp; SẢN PHẨM'!$F$13:$F$200,MATCH($B176,'DATA PHÍ &amp; SẢN PHẨM'!$L$13:$L$200,0)),0))</f>
        <v/>
      </c>
      <c r="L176" s="23" t="str">
        <f>IF($B176="","",IFERROR(INDEX('DATA PHÍ &amp; SẢN PHẨM'!$G$13:$G$200,MATCH($B176,'DATA PHÍ &amp; SẢN PHẨM'!$L$13:$L$200,0)),0))</f>
        <v/>
      </c>
      <c r="M176" s="24" t="str">
        <f t="shared" si="36"/>
        <v/>
      </c>
      <c r="N176" s="24" t="str">
        <f>IF($B176="","",$F176*'DATA PHÍ &amp; SẢN PHẨM'!$B$4)</f>
        <v/>
      </c>
      <c r="O176" s="24" t="str">
        <f>IF($B176="","",'DATA PHÍ &amp; SẢN PHẨM'!$B$5)</f>
        <v/>
      </c>
      <c r="P176" s="24" t="str">
        <f t="shared" si="37"/>
        <v/>
      </c>
      <c r="Q176" s="25" t="str">
        <f t="shared" si="38"/>
        <v/>
      </c>
      <c r="R176" s="26" t="str">
        <f t="shared" si="39"/>
        <v/>
      </c>
      <c r="S176" s="27" t="str">
        <f t="shared" si="40"/>
        <v/>
      </c>
      <c r="T176" s="28" t="str">
        <f t="shared" si="41"/>
        <v/>
      </c>
      <c r="U176" s="19"/>
    </row>
    <row r="177" spans="1:21" ht="16.05" customHeight="1">
      <c r="A177" s="18"/>
      <c r="B177" s="19"/>
      <c r="C177" s="19"/>
      <c r="D177" s="20"/>
      <c r="E177" s="20"/>
      <c r="F177" s="21" t="str">
        <f t="shared" si="35"/>
        <v/>
      </c>
      <c r="G177" s="21" t="str">
        <f>IF($B177="","",IFERROR(INDEX('DATA PHÍ &amp; SẢN PHẨM'!$M$13:$M$200,MATCH($B177,'DATA PHÍ &amp; SẢN PHẨM'!$L$13:$L$200,0)),0))</f>
        <v/>
      </c>
      <c r="H177" s="22"/>
      <c r="I177" s="20"/>
      <c r="J177" s="20"/>
      <c r="K177" s="23" t="str">
        <f>IF($B177="","",IFERROR(INDEX('DATA PHÍ &amp; SẢN PHẨM'!$F$13:$F$200,MATCH($B177,'DATA PHÍ &amp; SẢN PHẨM'!$L$13:$L$200,0)),0))</f>
        <v/>
      </c>
      <c r="L177" s="23" t="str">
        <f>IF($B177="","",IFERROR(INDEX('DATA PHÍ &amp; SẢN PHẨM'!$G$13:$G$200,MATCH($B177,'DATA PHÍ &amp; SẢN PHẨM'!$L$13:$L$200,0)),0))</f>
        <v/>
      </c>
      <c r="M177" s="24" t="str">
        <f t="shared" si="36"/>
        <v/>
      </c>
      <c r="N177" s="24" t="str">
        <f>IF($B177="","",$F177*'DATA PHÍ &amp; SẢN PHẨM'!$B$4)</f>
        <v/>
      </c>
      <c r="O177" s="24" t="str">
        <f>IF($B177="","",'DATA PHÍ &amp; SẢN PHẨM'!$B$5)</f>
        <v/>
      </c>
      <c r="P177" s="24" t="str">
        <f t="shared" si="37"/>
        <v/>
      </c>
      <c r="Q177" s="25" t="str">
        <f t="shared" si="38"/>
        <v/>
      </c>
      <c r="R177" s="26" t="str">
        <f t="shared" si="39"/>
        <v/>
      </c>
      <c r="S177" s="27" t="str">
        <f t="shared" si="40"/>
        <v/>
      </c>
      <c r="T177" s="28" t="str">
        <f t="shared" si="41"/>
        <v/>
      </c>
      <c r="U177" s="19"/>
    </row>
    <row r="178" spans="1:21" ht="16.05" customHeight="1">
      <c r="A178" s="18"/>
      <c r="B178" s="19"/>
      <c r="C178" s="19"/>
      <c r="D178" s="20"/>
      <c r="E178" s="20"/>
      <c r="F178" s="21" t="str">
        <f t="shared" si="35"/>
        <v/>
      </c>
      <c r="G178" s="21" t="str">
        <f>IF($B178="","",IFERROR(INDEX('DATA PHÍ &amp; SẢN PHẨM'!$M$13:$M$200,MATCH($B178,'DATA PHÍ &amp; SẢN PHẨM'!$L$13:$L$200,0)),0))</f>
        <v/>
      </c>
      <c r="H178" s="22"/>
      <c r="I178" s="20"/>
      <c r="J178" s="20"/>
      <c r="K178" s="23" t="str">
        <f>IF($B178="","",IFERROR(INDEX('DATA PHÍ &amp; SẢN PHẨM'!$F$13:$F$200,MATCH($B178,'DATA PHÍ &amp; SẢN PHẨM'!$L$13:$L$200,0)),0))</f>
        <v/>
      </c>
      <c r="L178" s="23" t="str">
        <f>IF($B178="","",IFERROR(INDEX('DATA PHÍ &amp; SẢN PHẨM'!$G$13:$G$200,MATCH($B178,'DATA PHÍ &amp; SẢN PHẨM'!$L$13:$L$200,0)),0))</f>
        <v/>
      </c>
      <c r="M178" s="24" t="str">
        <f t="shared" si="36"/>
        <v/>
      </c>
      <c r="N178" s="24" t="str">
        <f>IF($B178="","",$F178*'DATA PHÍ &amp; SẢN PHẨM'!$B$4)</f>
        <v/>
      </c>
      <c r="O178" s="24" t="str">
        <f>IF($B178="","",'DATA PHÍ &amp; SẢN PHẨM'!$B$5)</f>
        <v/>
      </c>
      <c r="P178" s="24" t="str">
        <f t="shared" si="37"/>
        <v/>
      </c>
      <c r="Q178" s="25" t="str">
        <f t="shared" si="38"/>
        <v/>
      </c>
      <c r="R178" s="26" t="str">
        <f t="shared" si="39"/>
        <v/>
      </c>
      <c r="S178" s="27" t="str">
        <f t="shared" si="40"/>
        <v/>
      </c>
      <c r="T178" s="28" t="str">
        <f t="shared" si="41"/>
        <v/>
      </c>
      <c r="U178" s="19"/>
    </row>
    <row r="179" spans="1:21" ht="16.05" customHeight="1">
      <c r="A179" s="18"/>
      <c r="B179" s="19"/>
      <c r="C179" s="19"/>
      <c r="D179" s="20"/>
      <c r="E179" s="20"/>
      <c r="F179" s="21" t="str">
        <f t="shared" si="35"/>
        <v/>
      </c>
      <c r="G179" s="21" t="str">
        <f>IF($B179="","",IFERROR(INDEX('DATA PHÍ &amp; SẢN PHẨM'!$M$13:$M$200,MATCH($B179,'DATA PHÍ &amp; SẢN PHẨM'!$L$13:$L$200,0)),0))</f>
        <v/>
      </c>
      <c r="H179" s="22"/>
      <c r="I179" s="20"/>
      <c r="J179" s="20"/>
      <c r="K179" s="23" t="str">
        <f>IF($B179="","",IFERROR(INDEX('DATA PHÍ &amp; SẢN PHẨM'!$F$13:$F$200,MATCH($B179,'DATA PHÍ &amp; SẢN PHẨM'!$L$13:$L$200,0)),0))</f>
        <v/>
      </c>
      <c r="L179" s="23" t="str">
        <f>IF($B179="","",IFERROR(INDEX('DATA PHÍ &amp; SẢN PHẨM'!$G$13:$G$200,MATCH($B179,'DATA PHÍ &amp; SẢN PHẨM'!$L$13:$L$200,0)),0))</f>
        <v/>
      </c>
      <c r="M179" s="24" t="str">
        <f t="shared" si="36"/>
        <v/>
      </c>
      <c r="N179" s="24" t="str">
        <f>IF($B179="","",$F179*'DATA PHÍ &amp; SẢN PHẨM'!$B$4)</f>
        <v/>
      </c>
      <c r="O179" s="24" t="str">
        <f>IF($B179="","",'DATA PHÍ &amp; SẢN PHẨM'!$B$5)</f>
        <v/>
      </c>
      <c r="P179" s="24" t="str">
        <f t="shared" si="37"/>
        <v/>
      </c>
      <c r="Q179" s="25" t="str">
        <f t="shared" si="38"/>
        <v/>
      </c>
      <c r="R179" s="26" t="str">
        <f t="shared" si="39"/>
        <v/>
      </c>
      <c r="S179" s="27" t="str">
        <f t="shared" si="40"/>
        <v/>
      </c>
      <c r="T179" s="28" t="str">
        <f t="shared" si="41"/>
        <v/>
      </c>
      <c r="U179" s="19"/>
    </row>
    <row r="180" spans="1:21" ht="16.05" customHeight="1">
      <c r="A180" s="18"/>
      <c r="B180" s="19"/>
      <c r="C180" s="19"/>
      <c r="D180" s="20"/>
      <c r="E180" s="20"/>
      <c r="F180" s="21" t="str">
        <f t="shared" si="35"/>
        <v/>
      </c>
      <c r="G180" s="21" t="str">
        <f>IF($B180="","",IFERROR(INDEX('DATA PHÍ &amp; SẢN PHẨM'!$M$13:$M$200,MATCH($B180,'DATA PHÍ &amp; SẢN PHẨM'!$L$13:$L$200,0)),0))</f>
        <v/>
      </c>
      <c r="H180" s="22"/>
      <c r="I180" s="20"/>
      <c r="J180" s="20"/>
      <c r="K180" s="23" t="str">
        <f>IF($B180="","",IFERROR(INDEX('DATA PHÍ &amp; SẢN PHẨM'!$F$13:$F$200,MATCH($B180,'DATA PHÍ &amp; SẢN PHẨM'!$L$13:$L$200,0)),0))</f>
        <v/>
      </c>
      <c r="L180" s="23" t="str">
        <f>IF($B180="","",IFERROR(INDEX('DATA PHÍ &amp; SẢN PHẨM'!$G$13:$G$200,MATCH($B180,'DATA PHÍ &amp; SẢN PHẨM'!$L$13:$L$200,0)),0))</f>
        <v/>
      </c>
      <c r="M180" s="24" t="str">
        <f t="shared" si="36"/>
        <v/>
      </c>
      <c r="N180" s="24" t="str">
        <f>IF($B180="","",$F180*'DATA PHÍ &amp; SẢN PHẨM'!$B$4)</f>
        <v/>
      </c>
      <c r="O180" s="24" t="str">
        <f>IF($B180="","",'DATA PHÍ &amp; SẢN PHẨM'!$B$5)</f>
        <v/>
      </c>
      <c r="P180" s="24" t="str">
        <f t="shared" si="37"/>
        <v/>
      </c>
      <c r="Q180" s="25" t="str">
        <f t="shared" si="38"/>
        <v/>
      </c>
      <c r="R180" s="26" t="str">
        <f t="shared" si="39"/>
        <v/>
      </c>
      <c r="S180" s="27" t="str">
        <f t="shared" si="40"/>
        <v/>
      </c>
      <c r="T180" s="28" t="str">
        <f t="shared" si="41"/>
        <v/>
      </c>
      <c r="U180" s="19"/>
    </row>
    <row r="181" spans="1:21" ht="16.05" customHeight="1">
      <c r="A181" s="18"/>
      <c r="B181" s="19"/>
      <c r="C181" s="19"/>
      <c r="D181" s="20"/>
      <c r="E181" s="20"/>
      <c r="F181" s="21" t="str">
        <f t="shared" si="35"/>
        <v/>
      </c>
      <c r="G181" s="21" t="str">
        <f>IF($B181="","",IFERROR(INDEX('DATA PHÍ &amp; SẢN PHẨM'!$M$13:$M$200,MATCH($B181,'DATA PHÍ &amp; SẢN PHẨM'!$L$13:$L$200,0)),0))</f>
        <v/>
      </c>
      <c r="H181" s="22"/>
      <c r="I181" s="20"/>
      <c r="J181" s="20"/>
      <c r="K181" s="23" t="str">
        <f>IF($B181="","",IFERROR(INDEX('DATA PHÍ &amp; SẢN PHẨM'!$F$13:$F$200,MATCH($B181,'DATA PHÍ &amp; SẢN PHẨM'!$L$13:$L$200,0)),0))</f>
        <v/>
      </c>
      <c r="L181" s="23" t="str">
        <f>IF($B181="","",IFERROR(INDEX('DATA PHÍ &amp; SẢN PHẨM'!$G$13:$G$200,MATCH($B181,'DATA PHÍ &amp; SẢN PHẨM'!$L$13:$L$200,0)),0))</f>
        <v/>
      </c>
      <c r="M181" s="24" t="str">
        <f t="shared" si="36"/>
        <v/>
      </c>
      <c r="N181" s="24" t="str">
        <f>IF($B181="","",$F181*'DATA PHÍ &amp; SẢN PHẨM'!$B$4)</f>
        <v/>
      </c>
      <c r="O181" s="24" t="str">
        <f>IF($B181="","",'DATA PHÍ &amp; SẢN PHẨM'!$B$5)</f>
        <v/>
      </c>
      <c r="P181" s="24" t="str">
        <f t="shared" si="37"/>
        <v/>
      </c>
      <c r="Q181" s="25" t="str">
        <f t="shared" si="38"/>
        <v/>
      </c>
      <c r="R181" s="26" t="str">
        <f t="shared" si="39"/>
        <v/>
      </c>
      <c r="S181" s="27" t="str">
        <f t="shared" si="40"/>
        <v/>
      </c>
      <c r="T181" s="28" t="str">
        <f t="shared" si="41"/>
        <v/>
      </c>
      <c r="U181" s="19"/>
    </row>
    <row r="182" spans="1:21" ht="16.05" customHeight="1">
      <c r="A182" s="18"/>
      <c r="B182" s="19"/>
      <c r="C182" s="19"/>
      <c r="D182" s="20"/>
      <c r="E182" s="20"/>
      <c r="F182" s="21" t="str">
        <f t="shared" si="35"/>
        <v/>
      </c>
      <c r="G182" s="21" t="str">
        <f>IF($B182="","",IFERROR(INDEX('DATA PHÍ &amp; SẢN PHẨM'!$M$13:$M$200,MATCH($B182,'DATA PHÍ &amp; SẢN PHẨM'!$L$13:$L$200,0)),0))</f>
        <v/>
      </c>
      <c r="H182" s="22"/>
      <c r="I182" s="20"/>
      <c r="J182" s="20"/>
      <c r="K182" s="23" t="str">
        <f>IF($B182="","",IFERROR(INDEX('DATA PHÍ &amp; SẢN PHẨM'!$F$13:$F$200,MATCH($B182,'DATA PHÍ &amp; SẢN PHẨM'!$L$13:$L$200,0)),0))</f>
        <v/>
      </c>
      <c r="L182" s="23" t="str">
        <f>IF($B182="","",IFERROR(INDEX('DATA PHÍ &amp; SẢN PHẨM'!$G$13:$G$200,MATCH($B182,'DATA PHÍ &amp; SẢN PHẨM'!$L$13:$L$200,0)),0))</f>
        <v/>
      </c>
      <c r="M182" s="24" t="str">
        <f t="shared" si="36"/>
        <v/>
      </c>
      <c r="N182" s="24" t="str">
        <f>IF($B182="","",$F182*'DATA PHÍ &amp; SẢN PHẨM'!$B$4)</f>
        <v/>
      </c>
      <c r="O182" s="24" t="str">
        <f>IF($B182="","",'DATA PHÍ &amp; SẢN PHẨM'!$B$5)</f>
        <v/>
      </c>
      <c r="P182" s="24" t="str">
        <f t="shared" si="37"/>
        <v/>
      </c>
      <c r="Q182" s="25" t="str">
        <f t="shared" si="38"/>
        <v/>
      </c>
      <c r="R182" s="26" t="str">
        <f t="shared" si="39"/>
        <v/>
      </c>
      <c r="S182" s="27" t="str">
        <f t="shared" si="40"/>
        <v/>
      </c>
      <c r="T182" s="28" t="str">
        <f t="shared" si="41"/>
        <v/>
      </c>
      <c r="U182" s="19"/>
    </row>
    <row r="183" spans="1:21" ht="16.05" customHeight="1">
      <c r="A183" s="18"/>
      <c r="B183" s="19"/>
      <c r="C183" s="19"/>
      <c r="D183" s="20"/>
      <c r="E183" s="20"/>
      <c r="F183" s="21" t="str">
        <f t="shared" si="35"/>
        <v/>
      </c>
      <c r="G183" s="21" t="str">
        <f>IF($B183="","",IFERROR(INDEX('DATA PHÍ &amp; SẢN PHẨM'!$M$13:$M$200,MATCH($B183,'DATA PHÍ &amp; SẢN PHẨM'!$L$13:$L$200,0)),0))</f>
        <v/>
      </c>
      <c r="H183" s="22"/>
      <c r="I183" s="20"/>
      <c r="J183" s="20"/>
      <c r="K183" s="23" t="str">
        <f>IF($B183="","",IFERROR(INDEX('DATA PHÍ &amp; SẢN PHẨM'!$F$13:$F$200,MATCH($B183,'DATA PHÍ &amp; SẢN PHẨM'!$L$13:$L$200,0)),0))</f>
        <v/>
      </c>
      <c r="L183" s="23" t="str">
        <f>IF($B183="","",IFERROR(INDEX('DATA PHÍ &amp; SẢN PHẨM'!$G$13:$G$200,MATCH($B183,'DATA PHÍ &amp; SẢN PHẨM'!$L$13:$L$200,0)),0))</f>
        <v/>
      </c>
      <c r="M183" s="24" t="str">
        <f t="shared" si="36"/>
        <v/>
      </c>
      <c r="N183" s="24" t="str">
        <f>IF($B183="","",$F183*'DATA PHÍ &amp; SẢN PHẨM'!$B$4)</f>
        <v/>
      </c>
      <c r="O183" s="24" t="str">
        <f>IF($B183="","",'DATA PHÍ &amp; SẢN PHẨM'!$B$5)</f>
        <v/>
      </c>
      <c r="P183" s="24" t="str">
        <f t="shared" si="37"/>
        <v/>
      </c>
      <c r="Q183" s="25" t="str">
        <f t="shared" si="38"/>
        <v/>
      </c>
      <c r="R183" s="26" t="str">
        <f t="shared" si="39"/>
        <v/>
      </c>
      <c r="S183" s="27" t="str">
        <f t="shared" si="40"/>
        <v/>
      </c>
      <c r="T183" s="28" t="str">
        <f t="shared" si="41"/>
        <v/>
      </c>
      <c r="U183" s="19"/>
    </row>
    <row r="184" spans="1:21" ht="16.05" customHeight="1">
      <c r="A184" s="18"/>
      <c r="B184" s="19"/>
      <c r="C184" s="19"/>
      <c r="D184" s="20"/>
      <c r="E184" s="20"/>
      <c r="F184" s="21" t="str">
        <f t="shared" si="35"/>
        <v/>
      </c>
      <c r="G184" s="21" t="str">
        <f>IF($B184="","",IFERROR(INDEX('DATA PHÍ &amp; SẢN PHẨM'!$M$13:$M$200,MATCH($B184,'DATA PHÍ &amp; SẢN PHẨM'!$L$13:$L$200,0)),0))</f>
        <v/>
      </c>
      <c r="H184" s="22"/>
      <c r="I184" s="20"/>
      <c r="J184" s="20"/>
      <c r="K184" s="23" t="str">
        <f>IF($B184="","",IFERROR(INDEX('DATA PHÍ &amp; SẢN PHẨM'!$F$13:$F$200,MATCH($B184,'DATA PHÍ &amp; SẢN PHẨM'!$L$13:$L$200,0)),0))</f>
        <v/>
      </c>
      <c r="L184" s="23" t="str">
        <f>IF($B184="","",IFERROR(INDEX('DATA PHÍ &amp; SẢN PHẨM'!$G$13:$G$200,MATCH($B184,'DATA PHÍ &amp; SẢN PHẨM'!$L$13:$L$200,0)),0))</f>
        <v/>
      </c>
      <c r="M184" s="24" t="str">
        <f t="shared" si="36"/>
        <v/>
      </c>
      <c r="N184" s="24" t="str">
        <f>IF($B184="","",$F184*'DATA PHÍ &amp; SẢN PHẨM'!$B$4)</f>
        <v/>
      </c>
      <c r="O184" s="24" t="str">
        <f>IF($B184="","",'DATA PHÍ &amp; SẢN PHẨM'!$B$5)</f>
        <v/>
      </c>
      <c r="P184" s="24" t="str">
        <f t="shared" si="37"/>
        <v/>
      </c>
      <c r="Q184" s="25" t="str">
        <f t="shared" si="38"/>
        <v/>
      </c>
      <c r="R184" s="26" t="str">
        <f t="shared" si="39"/>
        <v/>
      </c>
      <c r="S184" s="27" t="str">
        <f t="shared" si="40"/>
        <v/>
      </c>
      <c r="T184" s="28" t="str">
        <f t="shared" si="41"/>
        <v/>
      </c>
      <c r="U184" s="19"/>
    </row>
    <row r="185" spans="1:21" ht="16.05" customHeight="1">
      <c r="A185" s="18"/>
      <c r="B185" s="19"/>
      <c r="C185" s="19"/>
      <c r="D185" s="20"/>
      <c r="E185" s="20"/>
      <c r="F185" s="21" t="str">
        <f t="shared" si="35"/>
        <v/>
      </c>
      <c r="G185" s="21" t="str">
        <f>IF($B185="","",IFERROR(INDEX('DATA PHÍ &amp; SẢN PHẨM'!$M$13:$M$200,MATCH($B185,'DATA PHÍ &amp; SẢN PHẨM'!$L$13:$L$200,0)),0))</f>
        <v/>
      </c>
      <c r="H185" s="22"/>
      <c r="I185" s="20"/>
      <c r="J185" s="20"/>
      <c r="K185" s="23" t="str">
        <f>IF($B185="","",IFERROR(INDEX('DATA PHÍ &amp; SẢN PHẨM'!$F$13:$F$200,MATCH($B185,'DATA PHÍ &amp; SẢN PHẨM'!$L$13:$L$200,0)),0))</f>
        <v/>
      </c>
      <c r="L185" s="23" t="str">
        <f>IF($B185="","",IFERROR(INDEX('DATA PHÍ &amp; SẢN PHẨM'!$G$13:$G$200,MATCH($B185,'DATA PHÍ &amp; SẢN PHẨM'!$L$13:$L$200,0)),0))</f>
        <v/>
      </c>
      <c r="M185" s="24" t="str">
        <f t="shared" si="36"/>
        <v/>
      </c>
      <c r="N185" s="24" t="str">
        <f>IF($B185="","",$F185*'DATA PHÍ &amp; SẢN PHẨM'!$B$4)</f>
        <v/>
      </c>
      <c r="O185" s="24" t="str">
        <f>IF($B185="","",'DATA PHÍ &amp; SẢN PHẨM'!$B$5)</f>
        <v/>
      </c>
      <c r="P185" s="24" t="str">
        <f t="shared" si="37"/>
        <v/>
      </c>
      <c r="Q185" s="25" t="str">
        <f t="shared" si="38"/>
        <v/>
      </c>
      <c r="R185" s="26" t="str">
        <f t="shared" si="39"/>
        <v/>
      </c>
      <c r="S185" s="27" t="str">
        <f t="shared" si="40"/>
        <v/>
      </c>
      <c r="T185" s="28" t="str">
        <f t="shared" si="41"/>
        <v/>
      </c>
      <c r="U185" s="19"/>
    </row>
    <row r="186" spans="1:21" ht="16.05" customHeight="1">
      <c r="A186" s="18"/>
      <c r="B186" s="19"/>
      <c r="C186" s="19"/>
      <c r="D186" s="20"/>
      <c r="E186" s="20"/>
      <c r="F186" s="21" t="str">
        <f t="shared" si="35"/>
        <v/>
      </c>
      <c r="G186" s="21" t="str">
        <f>IF($B186="","",IFERROR(INDEX('DATA PHÍ &amp; SẢN PHẨM'!$M$13:$M$200,MATCH($B186,'DATA PHÍ &amp; SẢN PHẨM'!$L$13:$L$200,0)),0))</f>
        <v/>
      </c>
      <c r="H186" s="22"/>
      <c r="I186" s="20"/>
      <c r="J186" s="20"/>
      <c r="K186" s="23" t="str">
        <f>IF($B186="","",IFERROR(INDEX('DATA PHÍ &amp; SẢN PHẨM'!$F$13:$F$200,MATCH($B186,'DATA PHÍ &amp; SẢN PHẨM'!$L$13:$L$200,0)),0))</f>
        <v/>
      </c>
      <c r="L186" s="23" t="str">
        <f>IF($B186="","",IFERROR(INDEX('DATA PHÍ &amp; SẢN PHẨM'!$G$13:$G$200,MATCH($B186,'DATA PHÍ &amp; SẢN PHẨM'!$L$13:$L$200,0)),0))</f>
        <v/>
      </c>
      <c r="M186" s="24" t="str">
        <f t="shared" si="36"/>
        <v/>
      </c>
      <c r="N186" s="24" t="str">
        <f>IF($B186="","",$F186*'DATA PHÍ &amp; SẢN PHẨM'!$B$4)</f>
        <v/>
      </c>
      <c r="O186" s="24" t="str">
        <f>IF($B186="","",'DATA PHÍ &amp; SẢN PHẨM'!$B$5)</f>
        <v/>
      </c>
      <c r="P186" s="24" t="str">
        <f t="shared" si="37"/>
        <v/>
      </c>
      <c r="Q186" s="25" t="str">
        <f t="shared" si="38"/>
        <v/>
      </c>
      <c r="R186" s="26" t="str">
        <f t="shared" si="39"/>
        <v/>
      </c>
      <c r="S186" s="27" t="str">
        <f t="shared" si="40"/>
        <v/>
      </c>
      <c r="T186" s="28" t="str">
        <f t="shared" si="41"/>
        <v/>
      </c>
      <c r="U186" s="19"/>
    </row>
    <row r="187" spans="1:21" ht="16.05" customHeight="1">
      <c r="A187" s="18"/>
      <c r="B187" s="19"/>
      <c r="C187" s="19"/>
      <c r="D187" s="20"/>
      <c r="E187" s="20"/>
      <c r="F187" s="21" t="str">
        <f t="shared" si="35"/>
        <v/>
      </c>
      <c r="G187" s="21" t="str">
        <f>IF($B187="","",IFERROR(INDEX('DATA PHÍ &amp; SẢN PHẨM'!$M$13:$M$200,MATCH($B187,'DATA PHÍ &amp; SẢN PHẨM'!$L$13:$L$200,0)),0))</f>
        <v/>
      </c>
      <c r="H187" s="22"/>
      <c r="I187" s="20"/>
      <c r="J187" s="20"/>
      <c r="K187" s="23" t="str">
        <f>IF($B187="","",IFERROR(INDEX('DATA PHÍ &amp; SẢN PHẨM'!$F$13:$F$200,MATCH($B187,'DATA PHÍ &amp; SẢN PHẨM'!$L$13:$L$200,0)),0))</f>
        <v/>
      </c>
      <c r="L187" s="23" t="str">
        <f>IF($B187="","",IFERROR(INDEX('DATA PHÍ &amp; SẢN PHẨM'!$G$13:$G$200,MATCH($B187,'DATA PHÍ &amp; SẢN PHẨM'!$L$13:$L$200,0)),0))</f>
        <v/>
      </c>
      <c r="M187" s="24" t="str">
        <f t="shared" si="36"/>
        <v/>
      </c>
      <c r="N187" s="24" t="str">
        <f>IF($B187="","",$F187*'DATA PHÍ &amp; SẢN PHẨM'!$B$4)</f>
        <v/>
      </c>
      <c r="O187" s="24" t="str">
        <f>IF($B187="","",'DATA PHÍ &amp; SẢN PHẨM'!$B$5)</f>
        <v/>
      </c>
      <c r="P187" s="24" t="str">
        <f t="shared" si="37"/>
        <v/>
      </c>
      <c r="Q187" s="25" t="str">
        <f t="shared" si="38"/>
        <v/>
      </c>
      <c r="R187" s="26" t="str">
        <f t="shared" si="39"/>
        <v/>
      </c>
      <c r="S187" s="27" t="str">
        <f t="shared" si="40"/>
        <v/>
      </c>
      <c r="T187" s="28" t="str">
        <f t="shared" si="41"/>
        <v/>
      </c>
      <c r="U187" s="19"/>
    </row>
    <row r="188" spans="1:21" ht="16.05" customHeight="1">
      <c r="A188" s="18"/>
      <c r="B188" s="19"/>
      <c r="C188" s="19"/>
      <c r="D188" s="20"/>
      <c r="E188" s="20"/>
      <c r="F188" s="21" t="str">
        <f t="shared" si="35"/>
        <v/>
      </c>
      <c r="G188" s="21" t="str">
        <f>IF($B188="","",IFERROR(INDEX('DATA PHÍ &amp; SẢN PHẨM'!$M$13:$M$200,MATCH($B188,'DATA PHÍ &amp; SẢN PHẨM'!$L$13:$L$200,0)),0))</f>
        <v/>
      </c>
      <c r="H188" s="22"/>
      <c r="I188" s="20"/>
      <c r="J188" s="20"/>
      <c r="K188" s="23" t="str">
        <f>IF($B188="","",IFERROR(INDEX('DATA PHÍ &amp; SẢN PHẨM'!$F$13:$F$200,MATCH($B188,'DATA PHÍ &amp; SẢN PHẨM'!$L$13:$L$200,0)),0))</f>
        <v/>
      </c>
      <c r="L188" s="23" t="str">
        <f>IF($B188="","",IFERROR(INDEX('DATA PHÍ &amp; SẢN PHẨM'!$G$13:$G$200,MATCH($B188,'DATA PHÍ &amp; SẢN PHẨM'!$L$13:$L$200,0)),0))</f>
        <v/>
      </c>
      <c r="M188" s="24" t="str">
        <f t="shared" si="36"/>
        <v/>
      </c>
      <c r="N188" s="24" t="str">
        <f>IF($B188="","",$F188*'DATA PHÍ &amp; SẢN PHẨM'!$B$4)</f>
        <v/>
      </c>
      <c r="O188" s="24" t="str">
        <f>IF($B188="","",'DATA PHÍ &amp; SẢN PHẨM'!$B$5)</f>
        <v/>
      </c>
      <c r="P188" s="24" t="str">
        <f t="shared" si="37"/>
        <v/>
      </c>
      <c r="Q188" s="25" t="str">
        <f t="shared" si="38"/>
        <v/>
      </c>
      <c r="R188" s="26" t="str">
        <f t="shared" si="39"/>
        <v/>
      </c>
      <c r="S188" s="27" t="str">
        <f t="shared" si="40"/>
        <v/>
      </c>
      <c r="T188" s="28" t="str">
        <f t="shared" si="41"/>
        <v/>
      </c>
      <c r="U188" s="19"/>
    </row>
    <row r="189" spans="1:21" ht="16.05" customHeight="1">
      <c r="A189" s="18"/>
      <c r="B189" s="19"/>
      <c r="C189" s="19"/>
      <c r="D189" s="20"/>
      <c r="E189" s="20"/>
      <c r="F189" s="21" t="str">
        <f t="shared" si="35"/>
        <v/>
      </c>
      <c r="G189" s="21" t="str">
        <f>IF($B189="","",IFERROR(INDEX('DATA PHÍ &amp; SẢN PHẨM'!$M$13:$M$200,MATCH($B189,'DATA PHÍ &amp; SẢN PHẨM'!$L$13:$L$200,0)),0))</f>
        <v/>
      </c>
      <c r="H189" s="22"/>
      <c r="I189" s="20"/>
      <c r="J189" s="20"/>
      <c r="K189" s="23" t="str">
        <f>IF($B189="","",IFERROR(INDEX('DATA PHÍ &amp; SẢN PHẨM'!$F$13:$F$200,MATCH($B189,'DATA PHÍ &amp; SẢN PHẨM'!$L$13:$L$200,0)),0))</f>
        <v/>
      </c>
      <c r="L189" s="23" t="str">
        <f>IF($B189="","",IFERROR(INDEX('DATA PHÍ &amp; SẢN PHẨM'!$G$13:$G$200,MATCH($B189,'DATA PHÍ &amp; SẢN PHẨM'!$L$13:$L$200,0)),0))</f>
        <v/>
      </c>
      <c r="M189" s="24" t="str">
        <f t="shared" si="36"/>
        <v/>
      </c>
      <c r="N189" s="24" t="str">
        <f>IF($B189="","",$F189*'DATA PHÍ &amp; SẢN PHẨM'!$B$4)</f>
        <v/>
      </c>
      <c r="O189" s="24" t="str">
        <f>IF($B189="","",'DATA PHÍ &amp; SẢN PHẨM'!$B$5)</f>
        <v/>
      </c>
      <c r="P189" s="24" t="str">
        <f t="shared" si="37"/>
        <v/>
      </c>
      <c r="Q189" s="25" t="str">
        <f t="shared" si="38"/>
        <v/>
      </c>
      <c r="R189" s="26" t="str">
        <f t="shared" si="39"/>
        <v/>
      </c>
      <c r="S189" s="27" t="str">
        <f t="shared" si="40"/>
        <v/>
      </c>
      <c r="T189" s="28" t="str">
        <f t="shared" si="41"/>
        <v/>
      </c>
      <c r="U189" s="19"/>
    </row>
    <row r="190" spans="1:21" ht="16.05" customHeight="1">
      <c r="A190" s="18"/>
      <c r="B190" s="19"/>
      <c r="C190" s="19"/>
      <c r="D190" s="20"/>
      <c r="E190" s="20"/>
      <c r="F190" s="21" t="str">
        <f t="shared" si="35"/>
        <v/>
      </c>
      <c r="G190" s="21" t="str">
        <f>IF($B190="","",IFERROR(INDEX('DATA PHÍ &amp; SẢN PHẨM'!$M$13:$M$200,MATCH($B190,'DATA PHÍ &amp; SẢN PHẨM'!$L$13:$L$200,0)),0))</f>
        <v/>
      </c>
      <c r="H190" s="22"/>
      <c r="I190" s="20"/>
      <c r="J190" s="20"/>
      <c r="K190" s="23" t="str">
        <f>IF($B190="","",IFERROR(INDEX('DATA PHÍ &amp; SẢN PHẨM'!$F$13:$F$200,MATCH($B190,'DATA PHÍ &amp; SẢN PHẨM'!$L$13:$L$200,0)),0))</f>
        <v/>
      </c>
      <c r="L190" s="23" t="str">
        <f>IF($B190="","",IFERROR(INDEX('DATA PHÍ &amp; SẢN PHẨM'!$G$13:$G$200,MATCH($B190,'DATA PHÍ &amp; SẢN PHẨM'!$L$13:$L$200,0)),0))</f>
        <v/>
      </c>
      <c r="M190" s="24" t="str">
        <f t="shared" si="36"/>
        <v/>
      </c>
      <c r="N190" s="24" t="str">
        <f>IF($B190="","",$F190*'DATA PHÍ &amp; SẢN PHẨM'!$B$4)</f>
        <v/>
      </c>
      <c r="O190" s="24" t="str">
        <f>IF($B190="","",'DATA PHÍ &amp; SẢN PHẨM'!$B$5)</f>
        <v/>
      </c>
      <c r="P190" s="24" t="str">
        <f t="shared" si="37"/>
        <v/>
      </c>
      <c r="Q190" s="25" t="str">
        <f t="shared" si="38"/>
        <v/>
      </c>
      <c r="R190" s="26" t="str">
        <f t="shared" si="39"/>
        <v/>
      </c>
      <c r="S190" s="27" t="str">
        <f t="shared" si="40"/>
        <v/>
      </c>
      <c r="T190" s="28" t="str">
        <f t="shared" si="41"/>
        <v/>
      </c>
      <c r="U190" s="19"/>
    </row>
    <row r="191" spans="1:21" ht="16.05" customHeight="1">
      <c r="A191" s="18"/>
      <c r="B191" s="19"/>
      <c r="C191" s="19"/>
      <c r="D191" s="20"/>
      <c r="E191" s="20"/>
      <c r="F191" s="21" t="str">
        <f t="shared" si="35"/>
        <v/>
      </c>
      <c r="G191" s="21" t="str">
        <f>IF($B191="","",IFERROR(INDEX('DATA PHÍ &amp; SẢN PHẨM'!$M$13:$M$200,MATCH($B191,'DATA PHÍ &amp; SẢN PHẨM'!$L$13:$L$200,0)),0))</f>
        <v/>
      </c>
      <c r="H191" s="22"/>
      <c r="I191" s="20"/>
      <c r="J191" s="20"/>
      <c r="K191" s="23" t="str">
        <f>IF($B191="","",IFERROR(INDEX('DATA PHÍ &amp; SẢN PHẨM'!$F$13:$F$200,MATCH($B191,'DATA PHÍ &amp; SẢN PHẨM'!$L$13:$L$200,0)),0))</f>
        <v/>
      </c>
      <c r="L191" s="23" t="str">
        <f>IF($B191="","",IFERROR(INDEX('DATA PHÍ &amp; SẢN PHẨM'!$G$13:$G$200,MATCH($B191,'DATA PHÍ &amp; SẢN PHẨM'!$L$13:$L$200,0)),0))</f>
        <v/>
      </c>
      <c r="M191" s="24" t="str">
        <f t="shared" si="36"/>
        <v/>
      </c>
      <c r="N191" s="24" t="str">
        <f>IF($B191="","",$F191*'DATA PHÍ &amp; SẢN PHẨM'!$B$4)</f>
        <v/>
      </c>
      <c r="O191" s="24" t="str">
        <f>IF($B191="","",'DATA PHÍ &amp; SẢN PHẨM'!$B$5)</f>
        <v/>
      </c>
      <c r="P191" s="24" t="str">
        <f t="shared" si="37"/>
        <v/>
      </c>
      <c r="Q191" s="25" t="str">
        <f t="shared" si="38"/>
        <v/>
      </c>
      <c r="R191" s="26" t="str">
        <f t="shared" si="39"/>
        <v/>
      </c>
      <c r="S191" s="27" t="str">
        <f t="shared" si="40"/>
        <v/>
      </c>
      <c r="T191" s="28" t="str">
        <f t="shared" si="41"/>
        <v/>
      </c>
      <c r="U191" s="19"/>
    </row>
    <row r="192" spans="1:21" ht="16.05" customHeight="1">
      <c r="A192" s="18"/>
      <c r="B192" s="19"/>
      <c r="C192" s="19"/>
      <c r="D192" s="20"/>
      <c r="E192" s="20"/>
      <c r="F192" s="21" t="str">
        <f t="shared" si="35"/>
        <v/>
      </c>
      <c r="G192" s="21" t="str">
        <f>IF($B192="","",IFERROR(INDEX('DATA PHÍ &amp; SẢN PHẨM'!$M$13:$M$200,MATCH($B192,'DATA PHÍ &amp; SẢN PHẨM'!$L$13:$L$200,0)),0))</f>
        <v/>
      </c>
      <c r="H192" s="22"/>
      <c r="I192" s="20"/>
      <c r="J192" s="20"/>
      <c r="K192" s="23" t="str">
        <f>IF($B192="","",IFERROR(INDEX('DATA PHÍ &amp; SẢN PHẨM'!$F$13:$F$200,MATCH($B192,'DATA PHÍ &amp; SẢN PHẨM'!$L$13:$L$200,0)),0))</f>
        <v/>
      </c>
      <c r="L192" s="23" t="str">
        <f>IF($B192="","",IFERROR(INDEX('DATA PHÍ &amp; SẢN PHẨM'!$G$13:$G$200,MATCH($B192,'DATA PHÍ &amp; SẢN PHẨM'!$L$13:$L$200,0)),0))</f>
        <v/>
      </c>
      <c r="M192" s="24" t="str">
        <f t="shared" si="36"/>
        <v/>
      </c>
      <c r="N192" s="24" t="str">
        <f>IF($B192="","",$F192*'DATA PHÍ &amp; SẢN PHẨM'!$B$4)</f>
        <v/>
      </c>
      <c r="O192" s="24" t="str">
        <f>IF($B192="","",'DATA PHÍ &amp; SẢN PHẨM'!$B$5)</f>
        <v/>
      </c>
      <c r="P192" s="24" t="str">
        <f t="shared" si="37"/>
        <v/>
      </c>
      <c r="Q192" s="25" t="str">
        <f t="shared" si="38"/>
        <v/>
      </c>
      <c r="R192" s="26" t="str">
        <f t="shared" si="39"/>
        <v/>
      </c>
      <c r="S192" s="27" t="str">
        <f t="shared" si="40"/>
        <v/>
      </c>
      <c r="T192" s="28" t="str">
        <f t="shared" si="41"/>
        <v/>
      </c>
      <c r="U192" s="19"/>
    </row>
    <row r="193" spans="1:21" ht="16.05" customHeight="1">
      <c r="A193" s="18"/>
      <c r="B193" s="19"/>
      <c r="C193" s="19"/>
      <c r="D193" s="20"/>
      <c r="E193" s="20"/>
      <c r="F193" s="21" t="str">
        <f t="shared" si="35"/>
        <v/>
      </c>
      <c r="G193" s="21" t="str">
        <f>IF($B193="","",IFERROR(INDEX('DATA PHÍ &amp; SẢN PHẨM'!$M$13:$M$200,MATCH($B193,'DATA PHÍ &amp; SẢN PHẨM'!$L$13:$L$200,0)),0))</f>
        <v/>
      </c>
      <c r="H193" s="22"/>
      <c r="I193" s="20"/>
      <c r="J193" s="20"/>
      <c r="K193" s="23" t="str">
        <f>IF($B193="","",IFERROR(INDEX('DATA PHÍ &amp; SẢN PHẨM'!$F$13:$F$200,MATCH($B193,'DATA PHÍ &amp; SẢN PHẨM'!$L$13:$L$200,0)),0))</f>
        <v/>
      </c>
      <c r="L193" s="23" t="str">
        <f>IF($B193="","",IFERROR(INDEX('DATA PHÍ &amp; SẢN PHẨM'!$G$13:$G$200,MATCH($B193,'DATA PHÍ &amp; SẢN PHẨM'!$L$13:$L$200,0)),0))</f>
        <v/>
      </c>
      <c r="M193" s="24" t="str">
        <f t="shared" si="36"/>
        <v/>
      </c>
      <c r="N193" s="24" t="str">
        <f>IF($B193="","",$F193*'DATA PHÍ &amp; SẢN PHẨM'!$B$4)</f>
        <v/>
      </c>
      <c r="O193" s="24" t="str">
        <f>IF($B193="","",'DATA PHÍ &amp; SẢN PHẨM'!$B$5)</f>
        <v/>
      </c>
      <c r="P193" s="24" t="str">
        <f t="shared" si="37"/>
        <v/>
      </c>
      <c r="Q193" s="25" t="str">
        <f t="shared" si="38"/>
        <v/>
      </c>
      <c r="R193" s="26" t="str">
        <f t="shared" si="39"/>
        <v/>
      </c>
      <c r="S193" s="27" t="str">
        <f t="shared" si="40"/>
        <v/>
      </c>
      <c r="T193" s="28" t="str">
        <f t="shared" si="41"/>
        <v/>
      </c>
      <c r="U193" s="19"/>
    </row>
    <row r="194" spans="1:21" ht="16.05" customHeight="1">
      <c r="A194" s="18"/>
      <c r="B194" s="19"/>
      <c r="C194" s="19"/>
      <c r="D194" s="20"/>
      <c r="E194" s="20"/>
      <c r="F194" s="21" t="str">
        <f t="shared" si="35"/>
        <v/>
      </c>
      <c r="G194" s="21" t="str">
        <f>IF($B194="","",IFERROR(INDEX('DATA PHÍ &amp; SẢN PHẨM'!$M$13:$M$200,MATCH($B194,'DATA PHÍ &amp; SẢN PHẨM'!$L$13:$L$200,0)),0))</f>
        <v/>
      </c>
      <c r="H194" s="22"/>
      <c r="I194" s="20"/>
      <c r="J194" s="20"/>
      <c r="K194" s="23" t="str">
        <f>IF($B194="","",IFERROR(INDEX('DATA PHÍ &amp; SẢN PHẨM'!$F$13:$F$200,MATCH($B194,'DATA PHÍ &amp; SẢN PHẨM'!$L$13:$L$200,0)),0))</f>
        <v/>
      </c>
      <c r="L194" s="23" t="str">
        <f>IF($B194="","",IFERROR(INDEX('DATA PHÍ &amp; SẢN PHẨM'!$G$13:$G$200,MATCH($B194,'DATA PHÍ &amp; SẢN PHẨM'!$L$13:$L$200,0)),0))</f>
        <v/>
      </c>
      <c r="M194" s="24" t="str">
        <f t="shared" si="36"/>
        <v/>
      </c>
      <c r="N194" s="24" t="str">
        <f>IF($B194="","",$F194*'DATA PHÍ &amp; SẢN PHẨM'!$B$4)</f>
        <v/>
      </c>
      <c r="O194" s="24" t="str">
        <f>IF($B194="","",'DATA PHÍ &amp; SẢN PHẨM'!$B$5)</f>
        <v/>
      </c>
      <c r="P194" s="24" t="str">
        <f t="shared" si="37"/>
        <v/>
      </c>
      <c r="Q194" s="25" t="str">
        <f t="shared" si="38"/>
        <v/>
      </c>
      <c r="R194" s="26" t="str">
        <f t="shared" si="39"/>
        <v/>
      </c>
      <c r="S194" s="27" t="str">
        <f t="shared" si="40"/>
        <v/>
      </c>
      <c r="T194" s="28" t="str">
        <f t="shared" si="41"/>
        <v/>
      </c>
      <c r="U194" s="19"/>
    </row>
    <row r="195" spans="1:21" ht="16.05" customHeight="1">
      <c r="A195" s="18"/>
      <c r="B195" s="19"/>
      <c r="C195" s="19"/>
      <c r="D195" s="20"/>
      <c r="E195" s="20"/>
      <c r="F195" s="21" t="str">
        <f t="shared" si="35"/>
        <v/>
      </c>
      <c r="G195" s="21" t="str">
        <f>IF($B195="","",IFERROR(INDEX('DATA PHÍ &amp; SẢN PHẨM'!$M$13:$M$200,MATCH($B195,'DATA PHÍ &amp; SẢN PHẨM'!$L$13:$L$200,0)),0))</f>
        <v/>
      </c>
      <c r="H195" s="22"/>
      <c r="I195" s="20"/>
      <c r="J195" s="20"/>
      <c r="K195" s="23" t="str">
        <f>IF($B195="","",IFERROR(INDEX('DATA PHÍ &amp; SẢN PHẨM'!$F$13:$F$200,MATCH($B195,'DATA PHÍ &amp; SẢN PHẨM'!$L$13:$L$200,0)),0))</f>
        <v/>
      </c>
      <c r="L195" s="23" t="str">
        <f>IF($B195="","",IFERROR(INDEX('DATA PHÍ &amp; SẢN PHẨM'!$G$13:$G$200,MATCH($B195,'DATA PHÍ &amp; SẢN PHẨM'!$L$13:$L$200,0)),0))</f>
        <v/>
      </c>
      <c r="M195" s="24" t="str">
        <f t="shared" si="36"/>
        <v/>
      </c>
      <c r="N195" s="24" t="str">
        <f>IF($B195="","",$F195*'DATA PHÍ &amp; SẢN PHẨM'!$B$4)</f>
        <v/>
      </c>
      <c r="O195" s="24" t="str">
        <f>IF($B195="","",'DATA PHÍ &amp; SẢN PHẨM'!$B$5)</f>
        <v/>
      </c>
      <c r="P195" s="24" t="str">
        <f t="shared" si="37"/>
        <v/>
      </c>
      <c r="Q195" s="25" t="str">
        <f t="shared" si="38"/>
        <v/>
      </c>
      <c r="R195" s="26" t="str">
        <f t="shared" si="39"/>
        <v/>
      </c>
      <c r="S195" s="27" t="str">
        <f t="shared" si="40"/>
        <v/>
      </c>
      <c r="T195" s="28" t="str">
        <f t="shared" si="41"/>
        <v/>
      </c>
      <c r="U195" s="19"/>
    </row>
    <row r="196" spans="1:21" ht="16.05" customHeight="1">
      <c r="A196" s="18"/>
      <c r="B196" s="19"/>
      <c r="C196" s="19"/>
      <c r="D196" s="20"/>
      <c r="E196" s="20"/>
      <c r="F196" s="21" t="str">
        <f t="shared" si="35"/>
        <v/>
      </c>
      <c r="G196" s="21" t="str">
        <f>IF($B196="","",IFERROR(INDEX('DATA PHÍ &amp; SẢN PHẨM'!$M$13:$M$200,MATCH($B196,'DATA PHÍ &amp; SẢN PHẨM'!$L$13:$L$200,0)),0))</f>
        <v/>
      </c>
      <c r="H196" s="22"/>
      <c r="I196" s="20"/>
      <c r="J196" s="20"/>
      <c r="K196" s="23" t="str">
        <f>IF($B196="","",IFERROR(INDEX('DATA PHÍ &amp; SẢN PHẨM'!$F$13:$F$200,MATCH($B196,'DATA PHÍ &amp; SẢN PHẨM'!$L$13:$L$200,0)),0))</f>
        <v/>
      </c>
      <c r="L196" s="23" t="str">
        <f>IF($B196="","",IFERROR(INDEX('DATA PHÍ &amp; SẢN PHẨM'!$G$13:$G$200,MATCH($B196,'DATA PHÍ &amp; SẢN PHẨM'!$L$13:$L$200,0)),0))</f>
        <v/>
      </c>
      <c r="M196" s="24" t="str">
        <f t="shared" si="36"/>
        <v/>
      </c>
      <c r="N196" s="24" t="str">
        <f>IF($B196="","",$F196*'DATA PHÍ &amp; SẢN PHẨM'!$B$4)</f>
        <v/>
      </c>
      <c r="O196" s="24" t="str">
        <f>IF($B196="","",'DATA PHÍ &amp; SẢN PHẨM'!$B$5)</f>
        <v/>
      </c>
      <c r="P196" s="24" t="str">
        <f t="shared" si="37"/>
        <v/>
      </c>
      <c r="Q196" s="25" t="str">
        <f t="shared" si="38"/>
        <v/>
      </c>
      <c r="R196" s="26" t="str">
        <f t="shared" si="39"/>
        <v/>
      </c>
      <c r="S196" s="27" t="str">
        <f t="shared" si="40"/>
        <v/>
      </c>
      <c r="T196" s="28" t="str">
        <f t="shared" si="41"/>
        <v/>
      </c>
      <c r="U196" s="19"/>
    </row>
    <row r="197" spans="1:21" ht="16.05" customHeight="1">
      <c r="A197" s="18"/>
      <c r="B197" s="19"/>
      <c r="C197" s="19"/>
      <c r="D197" s="20"/>
      <c r="E197" s="20"/>
      <c r="F197" s="21" t="str">
        <f t="shared" si="35"/>
        <v/>
      </c>
      <c r="G197" s="21" t="str">
        <f>IF($B197="","",IFERROR(INDEX('DATA PHÍ &amp; SẢN PHẨM'!$M$13:$M$200,MATCH($B197,'DATA PHÍ &amp; SẢN PHẨM'!$L$13:$L$200,0)),0))</f>
        <v/>
      </c>
      <c r="H197" s="22"/>
      <c r="I197" s="20"/>
      <c r="J197" s="20"/>
      <c r="K197" s="23" t="str">
        <f>IF($B197="","",IFERROR(INDEX('DATA PHÍ &amp; SẢN PHẨM'!$F$13:$F$200,MATCH($B197,'DATA PHÍ &amp; SẢN PHẨM'!$L$13:$L$200,0)),0))</f>
        <v/>
      </c>
      <c r="L197" s="23" t="str">
        <f>IF($B197="","",IFERROR(INDEX('DATA PHÍ &amp; SẢN PHẨM'!$G$13:$G$200,MATCH($B197,'DATA PHÍ &amp; SẢN PHẨM'!$L$13:$L$200,0)),0))</f>
        <v/>
      </c>
      <c r="M197" s="24" t="str">
        <f t="shared" si="36"/>
        <v/>
      </c>
      <c r="N197" s="24" t="str">
        <f>IF($B197="","",$F197*'DATA PHÍ &amp; SẢN PHẨM'!$B$4)</f>
        <v/>
      </c>
      <c r="O197" s="24" t="str">
        <f>IF($B197="","",'DATA PHÍ &amp; SẢN PHẨM'!$B$5)</f>
        <v/>
      </c>
      <c r="P197" s="24" t="str">
        <f t="shared" si="37"/>
        <v/>
      </c>
      <c r="Q197" s="25" t="str">
        <f t="shared" si="38"/>
        <v/>
      </c>
      <c r="R197" s="26" t="str">
        <f t="shared" si="39"/>
        <v/>
      </c>
      <c r="S197" s="27" t="str">
        <f t="shared" si="40"/>
        <v/>
      </c>
      <c r="T197" s="28" t="str">
        <f t="shared" si="41"/>
        <v/>
      </c>
      <c r="U197" s="19"/>
    </row>
    <row r="198" spans="1:21" ht="16.05" customHeight="1">
      <c r="A198" s="18"/>
      <c r="B198" s="19"/>
      <c r="C198" s="19"/>
      <c r="D198" s="20"/>
      <c r="E198" s="20"/>
      <c r="F198" s="21" t="str">
        <f t="shared" si="35"/>
        <v/>
      </c>
      <c r="G198" s="21" t="str">
        <f>IF($B198="","",IFERROR(INDEX('DATA PHÍ &amp; SẢN PHẨM'!$M$13:$M$200,MATCH($B198,'DATA PHÍ &amp; SẢN PHẨM'!$L$13:$L$200,0)),0))</f>
        <v/>
      </c>
      <c r="H198" s="22"/>
      <c r="I198" s="20"/>
      <c r="J198" s="20"/>
      <c r="K198" s="23" t="str">
        <f>IF($B198="","",IFERROR(INDEX('DATA PHÍ &amp; SẢN PHẨM'!$F$13:$F$200,MATCH($B198,'DATA PHÍ &amp; SẢN PHẨM'!$L$13:$L$200,0)),0))</f>
        <v/>
      </c>
      <c r="L198" s="23" t="str">
        <f>IF($B198="","",IFERROR(INDEX('DATA PHÍ &amp; SẢN PHẨM'!$G$13:$G$200,MATCH($B198,'DATA PHÍ &amp; SẢN PHẨM'!$L$13:$L$200,0)),0))</f>
        <v/>
      </c>
      <c r="M198" s="24" t="str">
        <f t="shared" si="36"/>
        <v/>
      </c>
      <c r="N198" s="24" t="str">
        <f>IF($B198="","",$F198*'DATA PHÍ &amp; SẢN PHẨM'!$B$4)</f>
        <v/>
      </c>
      <c r="O198" s="24" t="str">
        <f>IF($B198="","",'DATA PHÍ &amp; SẢN PHẨM'!$B$5)</f>
        <v/>
      </c>
      <c r="P198" s="24" t="str">
        <f t="shared" si="37"/>
        <v/>
      </c>
      <c r="Q198" s="25" t="str">
        <f t="shared" si="38"/>
        <v/>
      </c>
      <c r="R198" s="26" t="str">
        <f t="shared" si="39"/>
        <v/>
      </c>
      <c r="S198" s="27" t="str">
        <f t="shared" si="40"/>
        <v/>
      </c>
      <c r="T198" s="28" t="str">
        <f t="shared" si="41"/>
        <v/>
      </c>
      <c r="U198" s="19"/>
    </row>
    <row r="199" spans="1:21" ht="16.05" customHeight="1">
      <c r="A199" s="18"/>
      <c r="B199" s="19"/>
      <c r="C199" s="19"/>
      <c r="D199" s="20"/>
      <c r="E199" s="20"/>
      <c r="F199" s="21" t="str">
        <f t="shared" si="35"/>
        <v/>
      </c>
      <c r="G199" s="21" t="str">
        <f>IF($B199="","",IFERROR(INDEX('DATA PHÍ &amp; SẢN PHẨM'!$M$13:$M$200,MATCH($B199,'DATA PHÍ &amp; SẢN PHẨM'!$L$13:$L$200,0)),0))</f>
        <v/>
      </c>
      <c r="H199" s="22"/>
      <c r="I199" s="20"/>
      <c r="J199" s="20"/>
      <c r="K199" s="23" t="str">
        <f>IF($B199="","",IFERROR(INDEX('DATA PHÍ &amp; SẢN PHẨM'!$F$13:$F$200,MATCH($B199,'DATA PHÍ &amp; SẢN PHẨM'!$L$13:$L$200,0)),0))</f>
        <v/>
      </c>
      <c r="L199" s="23" t="str">
        <f>IF($B199="","",IFERROR(INDEX('DATA PHÍ &amp; SẢN PHẨM'!$G$13:$G$200,MATCH($B199,'DATA PHÍ &amp; SẢN PHẨM'!$L$13:$L$200,0)),0))</f>
        <v/>
      </c>
      <c r="M199" s="24" t="str">
        <f t="shared" si="36"/>
        <v/>
      </c>
      <c r="N199" s="24" t="str">
        <f>IF($B199="","",$F199*'DATA PHÍ &amp; SẢN PHẨM'!$B$4)</f>
        <v/>
      </c>
      <c r="O199" s="24" t="str">
        <f>IF($B199="","",'DATA PHÍ &amp; SẢN PHẨM'!$B$5)</f>
        <v/>
      </c>
      <c r="P199" s="24" t="str">
        <f t="shared" si="37"/>
        <v/>
      </c>
      <c r="Q199" s="25" t="str">
        <f t="shared" si="38"/>
        <v/>
      </c>
      <c r="R199" s="26" t="str">
        <f t="shared" si="39"/>
        <v/>
      </c>
      <c r="S199" s="27" t="str">
        <f t="shared" si="40"/>
        <v/>
      </c>
      <c r="T199" s="28" t="str">
        <f t="shared" si="41"/>
        <v/>
      </c>
      <c r="U199" s="19"/>
    </row>
    <row r="200" spans="1:21" ht="16.05" customHeight="1">
      <c r="A200" s="18"/>
      <c r="B200" s="19"/>
      <c r="C200" s="19"/>
      <c r="D200" s="20"/>
      <c r="E200" s="20"/>
      <c r="F200" s="21" t="str">
        <f t="shared" si="35"/>
        <v/>
      </c>
      <c r="G200" s="21" t="str">
        <f>IF($B200="","",IFERROR(INDEX('DATA PHÍ &amp; SẢN PHẨM'!$M$13:$M$200,MATCH($B200,'DATA PHÍ &amp; SẢN PHẨM'!$L$13:$L$200,0)),0))</f>
        <v/>
      </c>
      <c r="H200" s="22"/>
      <c r="I200" s="20"/>
      <c r="J200" s="20"/>
      <c r="K200" s="23" t="str">
        <f>IF($B200="","",IFERROR(INDEX('DATA PHÍ &amp; SẢN PHẨM'!$F$13:$F$200,MATCH($B200,'DATA PHÍ &amp; SẢN PHẨM'!$L$13:$L$200,0)),0))</f>
        <v/>
      </c>
      <c r="L200" s="23" t="str">
        <f>IF($B200="","",IFERROR(INDEX('DATA PHÍ &amp; SẢN PHẨM'!$G$13:$G$200,MATCH($B200,'DATA PHÍ &amp; SẢN PHẨM'!$L$13:$L$200,0)),0))</f>
        <v/>
      </c>
      <c r="M200" s="24" t="str">
        <f t="shared" si="36"/>
        <v/>
      </c>
      <c r="N200" s="24" t="str">
        <f>IF($B200="","",$F200*'DATA PHÍ &amp; SẢN PHẨM'!$B$4)</f>
        <v/>
      </c>
      <c r="O200" s="24" t="str">
        <f>IF($B200="","",'DATA PHÍ &amp; SẢN PHẨM'!$B$5)</f>
        <v/>
      </c>
      <c r="P200" s="24" t="str">
        <f t="shared" si="37"/>
        <v/>
      </c>
      <c r="Q200" s="25" t="str">
        <f t="shared" si="38"/>
        <v/>
      </c>
      <c r="R200" s="26" t="str">
        <f t="shared" si="39"/>
        <v/>
      </c>
      <c r="S200" s="27" t="str">
        <f t="shared" si="40"/>
        <v/>
      </c>
      <c r="T200" s="28" t="str">
        <f t="shared" si="41"/>
        <v/>
      </c>
      <c r="U200" s="19"/>
    </row>
  </sheetData>
  <mergeCells count="8">
    <mergeCell ref="A1:U1"/>
    <mergeCell ref="A2:U2"/>
    <mergeCell ref="A7:U7"/>
    <mergeCell ref="A9:C9"/>
    <mergeCell ref="D9:F9"/>
    <mergeCell ref="G9:J9"/>
    <mergeCell ref="K9:P9"/>
    <mergeCell ref="Q9:U9"/>
  </mergeCells>
  <conditionalFormatting sqref="R11:R200">
    <cfRule type="cellIs" dxfId="2" priority="1" operator="lessThan">
      <formula>0</formula>
    </cfRule>
  </conditionalFormatting>
  <conditionalFormatting sqref="S11:S200">
    <cfRule type="colorScale" priority="2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T11:T200">
    <cfRule type="expression" dxfId="1" priority="3">
      <formula>$T11="LỖ"</formula>
    </cfRule>
    <cfRule type="expression" dxfId="0" priority="4">
      <formula>$T11="TỐT"</formula>
    </cfRule>
  </conditionalFormatting>
  <dataValidations count="1">
    <dataValidation type="list" sqref="C11:C200" xr:uid="{00000000-0002-0000-0000-000001000000}">
      <formula1>"Marketplace,Mall"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'DATA PHÍ &amp; SẢN PHẨM'!$L$13:$L$200</xm:f>
          </x14:formula1>
          <xm:sqref>B11:B200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0"/>
  <sheetViews>
    <sheetView topLeftCell="A2" zoomScale="55" zoomScaleNormal="55" workbookViewId="0">
      <selection activeCell="M12" sqref="A12:M12"/>
    </sheetView>
  </sheetViews>
  <sheetFormatPr defaultRowHeight="13.8"/>
  <cols>
    <col min="1" max="1" width="10" style="1" customWidth="1"/>
    <col min="2" max="2" width="34" style="1" customWidth="1"/>
    <col min="3" max="3" width="20" style="1" customWidth="1"/>
    <col min="4" max="4" width="34" style="1" customWidth="1"/>
    <col min="5" max="5" width="20" style="1" customWidth="1"/>
    <col min="6" max="7" width="16" style="1" customWidth="1"/>
    <col min="8" max="10" width="14" style="1" customWidth="1"/>
    <col min="11" max="11" width="20" style="1" customWidth="1"/>
    <col min="12" max="12" width="40" style="1" customWidth="1"/>
    <col min="13" max="13" width="18" style="1" customWidth="1"/>
    <col min="14" max="16384" width="8.796875" style="1"/>
  </cols>
  <sheetData>
    <row r="1" spans="1:13" ht="22.35" customHeight="1">
      <c r="A1" s="54" t="s">
        <v>43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3" spans="1:13">
      <c r="A3" s="56" t="s">
        <v>44</v>
      </c>
      <c r="B3" s="56" t="s">
        <v>45</v>
      </c>
      <c r="C3" s="56" t="s">
        <v>46</v>
      </c>
    </row>
    <row r="4" spans="1:13">
      <c r="A4" s="1" t="s">
        <v>28</v>
      </c>
      <c r="B4" s="29">
        <v>0.06</v>
      </c>
      <c r="C4" s="1" t="s">
        <v>47</v>
      </c>
    </row>
    <row r="5" spans="1:13">
      <c r="A5" s="1" t="s">
        <v>48</v>
      </c>
      <c r="B5" s="30">
        <v>3000</v>
      </c>
      <c r="C5" s="1" t="s">
        <v>49</v>
      </c>
    </row>
    <row r="6" spans="1:13">
      <c r="A6" s="1" t="s">
        <v>50</v>
      </c>
      <c r="B6" s="1" t="s">
        <v>51</v>
      </c>
      <c r="C6" s="1" t="s">
        <v>52</v>
      </c>
    </row>
    <row r="7" spans="1:13">
      <c r="A7" s="1" t="s">
        <v>53</v>
      </c>
      <c r="B7" s="1" t="s">
        <v>54</v>
      </c>
      <c r="C7" s="1" t="s">
        <v>52</v>
      </c>
    </row>
    <row r="8" spans="1:13">
      <c r="A8" s="1" t="s">
        <v>55</v>
      </c>
      <c r="B8" s="1" t="s">
        <v>56</v>
      </c>
      <c r="C8" s="1" t="s">
        <v>57</v>
      </c>
    </row>
    <row r="9" spans="1:13" ht="28.8" customHeight="1">
      <c r="A9" s="31" t="s">
        <v>58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</row>
    <row r="12" spans="1:13" ht="27.6">
      <c r="A12" s="57" t="s">
        <v>59</v>
      </c>
      <c r="B12" s="57" t="s">
        <v>60</v>
      </c>
      <c r="C12" s="57" t="s">
        <v>61</v>
      </c>
      <c r="D12" s="57" t="s">
        <v>62</v>
      </c>
      <c r="E12" s="57" t="s">
        <v>63</v>
      </c>
      <c r="F12" s="57" t="s">
        <v>25</v>
      </c>
      <c r="G12" s="57" t="s">
        <v>26</v>
      </c>
      <c r="H12" s="57" t="s">
        <v>64</v>
      </c>
      <c r="I12" s="57" t="s">
        <v>65</v>
      </c>
      <c r="J12" s="57" t="s">
        <v>66</v>
      </c>
      <c r="K12" s="57" t="s">
        <v>67</v>
      </c>
      <c r="L12" s="57" t="s">
        <v>68</v>
      </c>
      <c r="M12" s="57" t="s">
        <v>69</v>
      </c>
    </row>
    <row r="13" spans="1:13">
      <c r="A13" s="32" t="s">
        <v>70</v>
      </c>
      <c r="B13" s="32" t="s">
        <v>71</v>
      </c>
      <c r="C13" s="32" t="s">
        <v>72</v>
      </c>
      <c r="D13" s="32" t="s">
        <v>73</v>
      </c>
      <c r="E13" s="32" t="s">
        <v>74</v>
      </c>
      <c r="F13" s="33">
        <v>0.1</v>
      </c>
      <c r="G13" s="33">
        <v>0.115</v>
      </c>
      <c r="H13" s="34">
        <v>300000</v>
      </c>
      <c r="I13" s="34">
        <v>5000</v>
      </c>
      <c r="J13" s="34">
        <v>0</v>
      </c>
      <c r="K13" s="32" t="s">
        <v>75</v>
      </c>
      <c r="L13" s="32" t="str">
        <f t="shared" ref="L13:L44" si="0">IF(A13="","",A13&amp;" | "&amp;B13)</f>
        <v>HC001 | Sữa công thức tăng trưởng - mẫu</v>
      </c>
      <c r="M13" s="34">
        <f t="shared" ref="M13:M44" si="1">IF(A13="","",SUM(H13:J13))</f>
        <v>305000</v>
      </c>
    </row>
    <row r="14" spans="1:13">
      <c r="A14" s="32" t="s">
        <v>76</v>
      </c>
      <c r="B14" s="32" t="s">
        <v>77</v>
      </c>
      <c r="C14" s="32" t="s">
        <v>72</v>
      </c>
      <c r="D14" s="32" t="s">
        <v>78</v>
      </c>
      <c r="E14" s="32" t="s">
        <v>74</v>
      </c>
      <c r="F14" s="33">
        <v>9.5000000000000001E-2</v>
      </c>
      <c r="G14" s="33">
        <v>0.105</v>
      </c>
      <c r="H14" s="34">
        <v>320000</v>
      </c>
      <c r="I14" s="34">
        <v>5000</v>
      </c>
      <c r="J14" s="34">
        <v>0</v>
      </c>
      <c r="K14" s="32" t="s">
        <v>75</v>
      </c>
      <c r="L14" s="32" t="str">
        <f t="shared" si="0"/>
        <v>HC002 | Sữa công thức sơ sinh - mẫu</v>
      </c>
      <c r="M14" s="34">
        <f t="shared" si="1"/>
        <v>325000</v>
      </c>
    </row>
    <row r="15" spans="1:13">
      <c r="A15" s="32" t="s">
        <v>79</v>
      </c>
      <c r="B15" s="32" t="s">
        <v>80</v>
      </c>
      <c r="C15" s="32" t="s">
        <v>72</v>
      </c>
      <c r="D15" s="32" t="s">
        <v>81</v>
      </c>
      <c r="E15" s="32" t="s">
        <v>82</v>
      </c>
      <c r="F15" s="33">
        <v>9.5000000000000001E-2</v>
      </c>
      <c r="G15" s="33">
        <v>0.125</v>
      </c>
      <c r="H15" s="34">
        <v>120000</v>
      </c>
      <c r="I15" s="34">
        <v>4000</v>
      </c>
      <c r="J15" s="34">
        <v>0</v>
      </c>
      <c r="K15" s="32" t="s">
        <v>75</v>
      </c>
      <c r="L15" s="32" t="str">
        <f t="shared" si="0"/>
        <v>HC003 | Cháo/Bột/Ngũ cốc ăn dặm - mẫu</v>
      </c>
      <c r="M15" s="34">
        <f t="shared" si="1"/>
        <v>124000</v>
      </c>
    </row>
    <row r="16" spans="1:13">
      <c r="A16" s="32" t="s">
        <v>83</v>
      </c>
      <c r="B16" s="32" t="s">
        <v>84</v>
      </c>
      <c r="C16" s="32" t="s">
        <v>72</v>
      </c>
      <c r="D16" s="32" t="s">
        <v>85</v>
      </c>
      <c r="E16" s="32" t="s">
        <v>86</v>
      </c>
      <c r="F16" s="33">
        <v>0.1</v>
      </c>
      <c r="G16" s="33">
        <v>0.13500000000000001</v>
      </c>
      <c r="H16" s="34">
        <v>180000</v>
      </c>
      <c r="I16" s="34">
        <v>5000</v>
      </c>
      <c r="J16" s="34">
        <v>0</v>
      </c>
      <c r="K16" s="32" t="s">
        <v>75</v>
      </c>
      <c r="L16" s="32" t="str">
        <f t="shared" si="0"/>
        <v>HC004 | Đồ uống dinh dưỡng - mẫu</v>
      </c>
      <c r="M16" s="34">
        <f t="shared" si="1"/>
        <v>185000</v>
      </c>
    </row>
    <row r="17" spans="1:13" ht="27.6">
      <c r="A17" s="32" t="s">
        <v>87</v>
      </c>
      <c r="B17" s="32" t="s">
        <v>88</v>
      </c>
      <c r="C17" s="32" t="s">
        <v>72</v>
      </c>
      <c r="D17" s="32" t="s">
        <v>89</v>
      </c>
      <c r="E17" s="32" t="s">
        <v>90</v>
      </c>
      <c r="F17" s="33">
        <v>0.13500000000000001</v>
      </c>
      <c r="G17" s="33">
        <v>0.161</v>
      </c>
      <c r="H17" s="34">
        <v>280000</v>
      </c>
      <c r="I17" s="34">
        <v>5000</v>
      </c>
      <c r="J17" s="34">
        <v>0</v>
      </c>
      <c r="K17" s="32" t="s">
        <v>75</v>
      </c>
      <c r="L17" s="32" t="str">
        <f t="shared" si="0"/>
        <v>HC005 | Sữa cho mẹ bầu / mẹ cho con bú - mẫu</v>
      </c>
      <c r="M17" s="34">
        <f t="shared" si="1"/>
        <v>285000</v>
      </c>
    </row>
    <row r="18" spans="1:13">
      <c r="A18" s="32" t="s">
        <v>91</v>
      </c>
      <c r="B18" s="32" t="s">
        <v>92</v>
      </c>
      <c r="C18" s="32" t="s">
        <v>72</v>
      </c>
      <c r="D18" s="32" t="s">
        <v>93</v>
      </c>
      <c r="E18" s="32" t="s">
        <v>90</v>
      </c>
      <c r="F18" s="33">
        <v>0.13500000000000001</v>
      </c>
      <c r="G18" s="33">
        <v>0.161</v>
      </c>
      <c r="H18" s="34">
        <v>160000</v>
      </c>
      <c r="I18" s="34">
        <v>5000</v>
      </c>
      <c r="J18" s="34">
        <v>0</v>
      </c>
      <c r="K18" s="32" t="s">
        <v>75</v>
      </c>
      <c r="L18" s="32" t="str">
        <f t="shared" si="0"/>
        <v>HC006 | Vitamin &amp; TPBS cho mẹ - mẫu</v>
      </c>
      <c r="M18" s="34">
        <f t="shared" si="1"/>
        <v>165000</v>
      </c>
    </row>
    <row r="19" spans="1:13">
      <c r="A19" s="32" t="s">
        <v>94</v>
      </c>
      <c r="B19" s="32" t="s">
        <v>95</v>
      </c>
      <c r="C19" s="32" t="s">
        <v>72</v>
      </c>
      <c r="D19" s="32" t="s">
        <v>96</v>
      </c>
      <c r="E19" s="32" t="s">
        <v>97</v>
      </c>
      <c r="F19" s="33">
        <v>0.13</v>
      </c>
      <c r="G19" s="33">
        <v>0.16</v>
      </c>
      <c r="H19" s="34">
        <v>150000</v>
      </c>
      <c r="I19" s="34">
        <v>5000</v>
      </c>
      <c r="J19" s="34">
        <v>0</v>
      </c>
      <c r="K19" s="32" t="s">
        <v>75</v>
      </c>
      <c r="L19" s="32" t="str">
        <f t="shared" si="0"/>
        <v>HC007 | Vitamin &amp; TPBS cho trẻ - mẫu</v>
      </c>
      <c r="M19" s="34">
        <f t="shared" si="1"/>
        <v>155000</v>
      </c>
    </row>
    <row r="20" spans="1:13">
      <c r="A20" s="32" t="s">
        <v>98</v>
      </c>
      <c r="B20" s="32" t="s">
        <v>99</v>
      </c>
      <c r="C20" s="32" t="s">
        <v>100</v>
      </c>
      <c r="D20" s="32" t="s">
        <v>101</v>
      </c>
      <c r="E20" s="32" t="s">
        <v>102</v>
      </c>
      <c r="F20" s="33">
        <v>0.14499999999999999</v>
      </c>
      <c r="G20" s="33">
        <v>0.17100000000000001</v>
      </c>
      <c r="H20" s="34">
        <v>90000</v>
      </c>
      <c r="I20" s="34">
        <v>5000</v>
      </c>
      <c r="J20" s="34">
        <v>0</v>
      </c>
      <c r="K20" s="32" t="s">
        <v>75</v>
      </c>
      <c r="L20" s="32" t="str">
        <f t="shared" si="0"/>
        <v>HC008 | Bình sữa &amp; phụ kiện cho bé - mẫu</v>
      </c>
      <c r="M20" s="34">
        <f t="shared" si="1"/>
        <v>95000</v>
      </c>
    </row>
    <row r="21" spans="1:13">
      <c r="A21" s="32" t="s">
        <v>103</v>
      </c>
      <c r="B21" s="32" t="s">
        <v>104</v>
      </c>
      <c r="C21" s="32" t="s">
        <v>100</v>
      </c>
      <c r="D21" s="32" t="s">
        <v>105</v>
      </c>
      <c r="E21" s="32" t="s">
        <v>106</v>
      </c>
      <c r="F21" s="33">
        <v>0.13500000000000001</v>
      </c>
      <c r="G21" s="33">
        <v>0.161</v>
      </c>
      <c r="H21" s="34">
        <v>380000</v>
      </c>
      <c r="I21" s="34">
        <v>8000</v>
      </c>
      <c r="J21" s="34">
        <v>0</v>
      </c>
      <c r="K21" s="32" t="s">
        <v>75</v>
      </c>
      <c r="L21" s="32" t="str">
        <f t="shared" si="0"/>
        <v>HC009 | Máy hút sữa &amp; phụ kiện - mẫu</v>
      </c>
      <c r="M21" s="34">
        <f t="shared" si="1"/>
        <v>388000</v>
      </c>
    </row>
    <row r="22" spans="1:13">
      <c r="A22" s="32" t="s">
        <v>107</v>
      </c>
      <c r="B22" s="32" t="s">
        <v>108</v>
      </c>
      <c r="C22" s="32" t="s">
        <v>100</v>
      </c>
      <c r="D22" s="32" t="s">
        <v>109</v>
      </c>
      <c r="E22" s="32" t="s">
        <v>102</v>
      </c>
      <c r="F22" s="33">
        <v>0.14499999999999999</v>
      </c>
      <c r="G22" s="33">
        <v>0.17100000000000001</v>
      </c>
      <c r="H22" s="34">
        <v>25000</v>
      </c>
      <c r="I22" s="34">
        <v>3000</v>
      </c>
      <c r="J22" s="34">
        <v>0</v>
      </c>
      <c r="K22" s="32" t="s">
        <v>75</v>
      </c>
      <c r="L22" s="32" t="str">
        <f t="shared" si="0"/>
        <v>HC010 | Que rửa bình sữa cho bé - mẫu</v>
      </c>
      <c r="M22" s="34">
        <f t="shared" si="1"/>
        <v>28000</v>
      </c>
    </row>
    <row r="23" spans="1:13">
      <c r="A23" s="32" t="s">
        <v>110</v>
      </c>
      <c r="B23" s="32" t="s">
        <v>111</v>
      </c>
      <c r="C23" s="32" t="s">
        <v>112</v>
      </c>
      <c r="D23" s="32" t="s">
        <v>113</v>
      </c>
      <c r="E23" s="32" t="s">
        <v>113</v>
      </c>
      <c r="F23" s="33">
        <v>0.125</v>
      </c>
      <c r="G23" s="33">
        <v>0.157</v>
      </c>
      <c r="H23" s="34">
        <v>180000</v>
      </c>
      <c r="I23" s="34">
        <v>5000</v>
      </c>
      <c r="J23" s="34">
        <v>0</v>
      </c>
      <c r="K23" s="32" t="s">
        <v>75</v>
      </c>
      <c r="L23" s="32" t="str">
        <f t="shared" si="0"/>
        <v>HC011 | Yến sào - mẫu</v>
      </c>
      <c r="M23" s="34">
        <f t="shared" si="1"/>
        <v>185000</v>
      </c>
    </row>
    <row r="24" spans="1:13">
      <c r="A24" s="32" t="s">
        <v>114</v>
      </c>
      <c r="B24" s="32" t="s">
        <v>115</v>
      </c>
      <c r="C24" s="32" t="s">
        <v>72</v>
      </c>
      <c r="D24" s="32" t="s">
        <v>116</v>
      </c>
      <c r="E24" s="32" t="s">
        <v>74</v>
      </c>
      <c r="F24" s="33">
        <v>0.11</v>
      </c>
      <c r="G24" s="33">
        <v>0.14000000000000001</v>
      </c>
      <c r="H24" s="34">
        <v>260000</v>
      </c>
      <c r="I24" s="34">
        <v>5000</v>
      </c>
      <c r="J24" s="34">
        <v>0</v>
      </c>
      <c r="K24" s="32" t="s">
        <v>75</v>
      </c>
      <c r="L24" s="32" t="str">
        <f t="shared" si="0"/>
        <v>HC012 | Sữa bột / sản phẩm sữa bột - mẫu</v>
      </c>
      <c r="M24" s="34">
        <f t="shared" si="1"/>
        <v>265000</v>
      </c>
    </row>
    <row r="25" spans="1:13">
      <c r="F25" s="35"/>
      <c r="G25" s="35"/>
      <c r="H25" s="30"/>
      <c r="I25" s="30"/>
      <c r="J25" s="30"/>
      <c r="L25" s="1" t="str">
        <f t="shared" si="0"/>
        <v/>
      </c>
      <c r="M25" s="30" t="str">
        <f t="shared" si="1"/>
        <v/>
      </c>
    </row>
    <row r="26" spans="1:13">
      <c r="F26" s="35"/>
      <c r="G26" s="35"/>
      <c r="H26" s="30"/>
      <c r="I26" s="30"/>
      <c r="J26" s="30"/>
      <c r="L26" s="1" t="str">
        <f t="shared" si="0"/>
        <v/>
      </c>
      <c r="M26" s="30" t="str">
        <f t="shared" si="1"/>
        <v/>
      </c>
    </row>
    <row r="27" spans="1:13">
      <c r="F27" s="35"/>
      <c r="G27" s="35"/>
      <c r="H27" s="30"/>
      <c r="I27" s="30"/>
      <c r="J27" s="30"/>
      <c r="L27" s="1" t="str">
        <f t="shared" si="0"/>
        <v/>
      </c>
      <c r="M27" s="30" t="str">
        <f t="shared" si="1"/>
        <v/>
      </c>
    </row>
    <row r="28" spans="1:13">
      <c r="F28" s="35"/>
      <c r="G28" s="35"/>
      <c r="H28" s="30"/>
      <c r="I28" s="30"/>
      <c r="J28" s="30"/>
      <c r="L28" s="1" t="str">
        <f t="shared" si="0"/>
        <v/>
      </c>
      <c r="M28" s="30" t="str">
        <f t="shared" si="1"/>
        <v/>
      </c>
    </row>
    <row r="29" spans="1:13">
      <c r="F29" s="35"/>
      <c r="G29" s="35"/>
      <c r="H29" s="30"/>
      <c r="I29" s="30"/>
      <c r="J29" s="30"/>
      <c r="L29" s="1" t="str">
        <f t="shared" si="0"/>
        <v/>
      </c>
      <c r="M29" s="30" t="str">
        <f t="shared" si="1"/>
        <v/>
      </c>
    </row>
    <row r="30" spans="1:13">
      <c r="F30" s="35"/>
      <c r="G30" s="35"/>
      <c r="H30" s="30"/>
      <c r="I30" s="30"/>
      <c r="J30" s="30"/>
      <c r="L30" s="1" t="str">
        <f t="shared" si="0"/>
        <v/>
      </c>
      <c r="M30" s="30" t="str">
        <f t="shared" si="1"/>
        <v/>
      </c>
    </row>
    <row r="31" spans="1:13">
      <c r="F31" s="35"/>
      <c r="G31" s="35"/>
      <c r="H31" s="30"/>
      <c r="I31" s="30"/>
      <c r="J31" s="30"/>
      <c r="L31" s="1" t="str">
        <f t="shared" si="0"/>
        <v/>
      </c>
      <c r="M31" s="30" t="str">
        <f t="shared" si="1"/>
        <v/>
      </c>
    </row>
    <row r="32" spans="1:13">
      <c r="F32" s="35"/>
      <c r="G32" s="35"/>
      <c r="H32" s="30"/>
      <c r="I32" s="30"/>
      <c r="J32" s="30"/>
      <c r="L32" s="1" t="str">
        <f t="shared" si="0"/>
        <v/>
      </c>
      <c r="M32" s="30" t="str">
        <f t="shared" si="1"/>
        <v/>
      </c>
    </row>
    <row r="33" spans="6:13">
      <c r="F33" s="35"/>
      <c r="G33" s="35"/>
      <c r="H33" s="30"/>
      <c r="I33" s="30"/>
      <c r="J33" s="30"/>
      <c r="L33" s="1" t="str">
        <f t="shared" si="0"/>
        <v/>
      </c>
      <c r="M33" s="30" t="str">
        <f t="shared" si="1"/>
        <v/>
      </c>
    </row>
    <row r="34" spans="6:13">
      <c r="F34" s="35"/>
      <c r="G34" s="35"/>
      <c r="H34" s="30"/>
      <c r="I34" s="30"/>
      <c r="J34" s="30"/>
      <c r="L34" s="1" t="str">
        <f t="shared" si="0"/>
        <v/>
      </c>
      <c r="M34" s="30" t="str">
        <f t="shared" si="1"/>
        <v/>
      </c>
    </row>
    <row r="35" spans="6:13">
      <c r="F35" s="35"/>
      <c r="G35" s="35"/>
      <c r="H35" s="30"/>
      <c r="I35" s="30"/>
      <c r="J35" s="30"/>
      <c r="L35" s="1" t="str">
        <f t="shared" si="0"/>
        <v/>
      </c>
      <c r="M35" s="30" t="str">
        <f t="shared" si="1"/>
        <v/>
      </c>
    </row>
    <row r="36" spans="6:13">
      <c r="F36" s="35"/>
      <c r="G36" s="35"/>
      <c r="H36" s="30"/>
      <c r="I36" s="30"/>
      <c r="J36" s="30"/>
      <c r="L36" s="1" t="str">
        <f t="shared" si="0"/>
        <v/>
      </c>
      <c r="M36" s="30" t="str">
        <f t="shared" si="1"/>
        <v/>
      </c>
    </row>
    <row r="37" spans="6:13">
      <c r="F37" s="35"/>
      <c r="G37" s="35"/>
      <c r="H37" s="30"/>
      <c r="I37" s="30"/>
      <c r="J37" s="30"/>
      <c r="L37" s="1" t="str">
        <f t="shared" si="0"/>
        <v/>
      </c>
      <c r="M37" s="30" t="str">
        <f t="shared" si="1"/>
        <v/>
      </c>
    </row>
    <row r="38" spans="6:13">
      <c r="F38" s="35"/>
      <c r="G38" s="35"/>
      <c r="H38" s="30"/>
      <c r="I38" s="30"/>
      <c r="J38" s="30"/>
      <c r="L38" s="1" t="str">
        <f t="shared" si="0"/>
        <v/>
      </c>
      <c r="M38" s="30" t="str">
        <f t="shared" si="1"/>
        <v/>
      </c>
    </row>
    <row r="39" spans="6:13">
      <c r="F39" s="35"/>
      <c r="G39" s="35"/>
      <c r="H39" s="30"/>
      <c r="I39" s="30"/>
      <c r="J39" s="30"/>
      <c r="L39" s="1" t="str">
        <f t="shared" si="0"/>
        <v/>
      </c>
      <c r="M39" s="30" t="str">
        <f t="shared" si="1"/>
        <v/>
      </c>
    </row>
    <row r="40" spans="6:13">
      <c r="F40" s="35"/>
      <c r="G40" s="35"/>
      <c r="H40" s="30"/>
      <c r="I40" s="30"/>
      <c r="J40" s="30"/>
      <c r="L40" s="1" t="str">
        <f t="shared" si="0"/>
        <v/>
      </c>
      <c r="M40" s="30" t="str">
        <f t="shared" si="1"/>
        <v/>
      </c>
    </row>
    <row r="41" spans="6:13">
      <c r="F41" s="35"/>
      <c r="G41" s="35"/>
      <c r="H41" s="30"/>
      <c r="I41" s="30"/>
      <c r="J41" s="30"/>
      <c r="L41" s="1" t="str">
        <f t="shared" si="0"/>
        <v/>
      </c>
      <c r="M41" s="30" t="str">
        <f t="shared" si="1"/>
        <v/>
      </c>
    </row>
    <row r="42" spans="6:13">
      <c r="F42" s="35"/>
      <c r="G42" s="35"/>
      <c r="H42" s="30"/>
      <c r="I42" s="30"/>
      <c r="J42" s="30"/>
      <c r="L42" s="1" t="str">
        <f t="shared" si="0"/>
        <v/>
      </c>
      <c r="M42" s="30" t="str">
        <f t="shared" si="1"/>
        <v/>
      </c>
    </row>
    <row r="43" spans="6:13">
      <c r="F43" s="35"/>
      <c r="G43" s="35"/>
      <c r="H43" s="30"/>
      <c r="I43" s="30"/>
      <c r="J43" s="30"/>
      <c r="L43" s="1" t="str">
        <f t="shared" si="0"/>
        <v/>
      </c>
      <c r="M43" s="30" t="str">
        <f t="shared" si="1"/>
        <v/>
      </c>
    </row>
    <row r="44" spans="6:13">
      <c r="F44" s="35"/>
      <c r="G44" s="35"/>
      <c r="H44" s="30"/>
      <c r="I44" s="30"/>
      <c r="J44" s="30"/>
      <c r="L44" s="1" t="str">
        <f t="shared" si="0"/>
        <v/>
      </c>
      <c r="M44" s="30" t="str">
        <f t="shared" si="1"/>
        <v/>
      </c>
    </row>
    <row r="45" spans="6:13">
      <c r="F45" s="35"/>
      <c r="G45" s="35"/>
      <c r="H45" s="30"/>
      <c r="I45" s="30"/>
      <c r="J45" s="30"/>
      <c r="L45" s="1" t="str">
        <f t="shared" ref="L45:L76" si="2">IF(A45="","",A45&amp;" | "&amp;B45)</f>
        <v/>
      </c>
      <c r="M45" s="30" t="str">
        <f t="shared" ref="M45:M76" si="3">IF(A45="","",SUM(H45:J45))</f>
        <v/>
      </c>
    </row>
    <row r="46" spans="6:13">
      <c r="F46" s="35"/>
      <c r="G46" s="35"/>
      <c r="H46" s="30"/>
      <c r="I46" s="30"/>
      <c r="J46" s="30"/>
      <c r="L46" s="1" t="str">
        <f t="shared" si="2"/>
        <v/>
      </c>
      <c r="M46" s="30" t="str">
        <f t="shared" si="3"/>
        <v/>
      </c>
    </row>
    <row r="47" spans="6:13">
      <c r="F47" s="35"/>
      <c r="G47" s="35"/>
      <c r="H47" s="30"/>
      <c r="I47" s="30"/>
      <c r="J47" s="30"/>
      <c r="L47" s="1" t="str">
        <f t="shared" si="2"/>
        <v/>
      </c>
      <c r="M47" s="30" t="str">
        <f t="shared" si="3"/>
        <v/>
      </c>
    </row>
    <row r="48" spans="6:13">
      <c r="F48" s="35"/>
      <c r="G48" s="35"/>
      <c r="H48" s="30"/>
      <c r="I48" s="30"/>
      <c r="J48" s="30"/>
      <c r="L48" s="1" t="str">
        <f t="shared" si="2"/>
        <v/>
      </c>
      <c r="M48" s="30" t="str">
        <f t="shared" si="3"/>
        <v/>
      </c>
    </row>
    <row r="49" spans="6:13">
      <c r="F49" s="35"/>
      <c r="G49" s="35"/>
      <c r="H49" s="30"/>
      <c r="I49" s="30"/>
      <c r="J49" s="30"/>
      <c r="L49" s="1" t="str">
        <f t="shared" si="2"/>
        <v/>
      </c>
      <c r="M49" s="30" t="str">
        <f t="shared" si="3"/>
        <v/>
      </c>
    </row>
    <row r="50" spans="6:13">
      <c r="F50" s="35"/>
      <c r="G50" s="35"/>
      <c r="H50" s="30"/>
      <c r="I50" s="30"/>
      <c r="J50" s="30"/>
      <c r="L50" s="1" t="str">
        <f t="shared" si="2"/>
        <v/>
      </c>
      <c r="M50" s="30" t="str">
        <f t="shared" si="3"/>
        <v/>
      </c>
    </row>
    <row r="51" spans="6:13">
      <c r="F51" s="35"/>
      <c r="G51" s="35"/>
      <c r="H51" s="30"/>
      <c r="I51" s="30"/>
      <c r="J51" s="30"/>
      <c r="L51" s="1" t="str">
        <f t="shared" si="2"/>
        <v/>
      </c>
      <c r="M51" s="30" t="str">
        <f t="shared" si="3"/>
        <v/>
      </c>
    </row>
    <row r="52" spans="6:13">
      <c r="F52" s="35"/>
      <c r="G52" s="35"/>
      <c r="H52" s="30"/>
      <c r="I52" s="30"/>
      <c r="J52" s="30"/>
      <c r="L52" s="1" t="str">
        <f t="shared" si="2"/>
        <v/>
      </c>
      <c r="M52" s="30" t="str">
        <f t="shared" si="3"/>
        <v/>
      </c>
    </row>
    <row r="53" spans="6:13">
      <c r="F53" s="35"/>
      <c r="G53" s="35"/>
      <c r="H53" s="30"/>
      <c r="I53" s="30"/>
      <c r="J53" s="30"/>
      <c r="L53" s="1" t="str">
        <f t="shared" si="2"/>
        <v/>
      </c>
      <c r="M53" s="30" t="str">
        <f t="shared" si="3"/>
        <v/>
      </c>
    </row>
    <row r="54" spans="6:13">
      <c r="F54" s="35"/>
      <c r="G54" s="35"/>
      <c r="H54" s="30"/>
      <c r="I54" s="30"/>
      <c r="J54" s="30"/>
      <c r="L54" s="1" t="str">
        <f t="shared" si="2"/>
        <v/>
      </c>
      <c r="M54" s="30" t="str">
        <f t="shared" si="3"/>
        <v/>
      </c>
    </row>
    <row r="55" spans="6:13">
      <c r="F55" s="35"/>
      <c r="G55" s="35"/>
      <c r="H55" s="30"/>
      <c r="I55" s="30"/>
      <c r="J55" s="30"/>
      <c r="L55" s="1" t="str">
        <f t="shared" si="2"/>
        <v/>
      </c>
      <c r="M55" s="30" t="str">
        <f t="shared" si="3"/>
        <v/>
      </c>
    </row>
    <row r="56" spans="6:13">
      <c r="F56" s="35"/>
      <c r="G56" s="35"/>
      <c r="H56" s="30"/>
      <c r="I56" s="30"/>
      <c r="J56" s="30"/>
      <c r="L56" s="1" t="str">
        <f t="shared" si="2"/>
        <v/>
      </c>
      <c r="M56" s="30" t="str">
        <f t="shared" si="3"/>
        <v/>
      </c>
    </row>
    <row r="57" spans="6:13">
      <c r="F57" s="35"/>
      <c r="G57" s="35"/>
      <c r="H57" s="30"/>
      <c r="I57" s="30"/>
      <c r="J57" s="30"/>
      <c r="L57" s="1" t="str">
        <f t="shared" si="2"/>
        <v/>
      </c>
      <c r="M57" s="30" t="str">
        <f t="shared" si="3"/>
        <v/>
      </c>
    </row>
    <row r="58" spans="6:13">
      <c r="F58" s="35"/>
      <c r="G58" s="35"/>
      <c r="H58" s="30"/>
      <c r="I58" s="30"/>
      <c r="J58" s="30"/>
      <c r="L58" s="1" t="str">
        <f t="shared" si="2"/>
        <v/>
      </c>
      <c r="M58" s="30" t="str">
        <f t="shared" si="3"/>
        <v/>
      </c>
    </row>
    <row r="59" spans="6:13">
      <c r="F59" s="35"/>
      <c r="G59" s="35"/>
      <c r="H59" s="30"/>
      <c r="I59" s="30"/>
      <c r="J59" s="30"/>
      <c r="L59" s="1" t="str">
        <f t="shared" si="2"/>
        <v/>
      </c>
      <c r="M59" s="30" t="str">
        <f t="shared" si="3"/>
        <v/>
      </c>
    </row>
    <row r="60" spans="6:13">
      <c r="F60" s="35"/>
      <c r="G60" s="35"/>
      <c r="H60" s="30"/>
      <c r="I60" s="30"/>
      <c r="J60" s="30"/>
      <c r="L60" s="1" t="str">
        <f t="shared" si="2"/>
        <v/>
      </c>
      <c r="M60" s="30" t="str">
        <f t="shared" si="3"/>
        <v/>
      </c>
    </row>
    <row r="61" spans="6:13">
      <c r="F61" s="35"/>
      <c r="G61" s="35"/>
      <c r="H61" s="30"/>
      <c r="I61" s="30"/>
      <c r="J61" s="30"/>
      <c r="L61" s="1" t="str">
        <f t="shared" si="2"/>
        <v/>
      </c>
      <c r="M61" s="30" t="str">
        <f t="shared" si="3"/>
        <v/>
      </c>
    </row>
    <row r="62" spans="6:13">
      <c r="F62" s="35"/>
      <c r="G62" s="35"/>
      <c r="H62" s="30"/>
      <c r="I62" s="30"/>
      <c r="J62" s="30"/>
      <c r="L62" s="1" t="str">
        <f t="shared" si="2"/>
        <v/>
      </c>
      <c r="M62" s="30" t="str">
        <f t="shared" si="3"/>
        <v/>
      </c>
    </row>
    <row r="63" spans="6:13">
      <c r="F63" s="35"/>
      <c r="G63" s="35"/>
      <c r="H63" s="30"/>
      <c r="I63" s="30"/>
      <c r="J63" s="30"/>
      <c r="L63" s="1" t="str">
        <f t="shared" si="2"/>
        <v/>
      </c>
      <c r="M63" s="30" t="str">
        <f t="shared" si="3"/>
        <v/>
      </c>
    </row>
    <row r="64" spans="6:13">
      <c r="F64" s="35"/>
      <c r="G64" s="35"/>
      <c r="H64" s="30"/>
      <c r="I64" s="30"/>
      <c r="J64" s="30"/>
      <c r="L64" s="1" t="str">
        <f t="shared" si="2"/>
        <v/>
      </c>
      <c r="M64" s="30" t="str">
        <f t="shared" si="3"/>
        <v/>
      </c>
    </row>
    <row r="65" spans="6:13">
      <c r="F65" s="35"/>
      <c r="G65" s="35"/>
      <c r="H65" s="30"/>
      <c r="I65" s="30"/>
      <c r="J65" s="30"/>
      <c r="L65" s="1" t="str">
        <f t="shared" si="2"/>
        <v/>
      </c>
      <c r="M65" s="30" t="str">
        <f t="shared" si="3"/>
        <v/>
      </c>
    </row>
    <row r="66" spans="6:13">
      <c r="F66" s="35"/>
      <c r="G66" s="35"/>
      <c r="H66" s="30"/>
      <c r="I66" s="30"/>
      <c r="J66" s="30"/>
      <c r="L66" s="1" t="str">
        <f t="shared" si="2"/>
        <v/>
      </c>
      <c r="M66" s="30" t="str">
        <f t="shared" si="3"/>
        <v/>
      </c>
    </row>
    <row r="67" spans="6:13">
      <c r="F67" s="35"/>
      <c r="G67" s="35"/>
      <c r="H67" s="30"/>
      <c r="I67" s="30"/>
      <c r="J67" s="30"/>
      <c r="L67" s="1" t="str">
        <f t="shared" si="2"/>
        <v/>
      </c>
      <c r="M67" s="30" t="str">
        <f t="shared" si="3"/>
        <v/>
      </c>
    </row>
    <row r="68" spans="6:13">
      <c r="F68" s="35"/>
      <c r="G68" s="35"/>
      <c r="H68" s="30"/>
      <c r="I68" s="30"/>
      <c r="J68" s="30"/>
      <c r="L68" s="1" t="str">
        <f t="shared" si="2"/>
        <v/>
      </c>
      <c r="M68" s="30" t="str">
        <f t="shared" si="3"/>
        <v/>
      </c>
    </row>
    <row r="69" spans="6:13">
      <c r="F69" s="35"/>
      <c r="G69" s="35"/>
      <c r="H69" s="30"/>
      <c r="I69" s="30"/>
      <c r="J69" s="30"/>
      <c r="L69" s="1" t="str">
        <f t="shared" si="2"/>
        <v/>
      </c>
      <c r="M69" s="30" t="str">
        <f t="shared" si="3"/>
        <v/>
      </c>
    </row>
    <row r="70" spans="6:13">
      <c r="F70" s="35"/>
      <c r="G70" s="35"/>
      <c r="H70" s="30"/>
      <c r="I70" s="30"/>
      <c r="J70" s="30"/>
      <c r="L70" s="1" t="str">
        <f t="shared" si="2"/>
        <v/>
      </c>
      <c r="M70" s="30" t="str">
        <f t="shared" si="3"/>
        <v/>
      </c>
    </row>
    <row r="71" spans="6:13">
      <c r="F71" s="35"/>
      <c r="G71" s="35"/>
      <c r="H71" s="30"/>
      <c r="I71" s="30"/>
      <c r="J71" s="30"/>
      <c r="L71" s="1" t="str">
        <f t="shared" si="2"/>
        <v/>
      </c>
      <c r="M71" s="30" t="str">
        <f t="shared" si="3"/>
        <v/>
      </c>
    </row>
    <row r="72" spans="6:13">
      <c r="F72" s="35"/>
      <c r="G72" s="35"/>
      <c r="H72" s="30"/>
      <c r="I72" s="30"/>
      <c r="J72" s="30"/>
      <c r="L72" s="1" t="str">
        <f t="shared" si="2"/>
        <v/>
      </c>
      <c r="M72" s="30" t="str">
        <f t="shared" si="3"/>
        <v/>
      </c>
    </row>
    <row r="73" spans="6:13">
      <c r="F73" s="35"/>
      <c r="G73" s="35"/>
      <c r="H73" s="30"/>
      <c r="I73" s="30"/>
      <c r="J73" s="30"/>
      <c r="L73" s="1" t="str">
        <f t="shared" si="2"/>
        <v/>
      </c>
      <c r="M73" s="30" t="str">
        <f t="shared" si="3"/>
        <v/>
      </c>
    </row>
    <row r="74" spans="6:13">
      <c r="F74" s="35"/>
      <c r="G74" s="35"/>
      <c r="H74" s="30"/>
      <c r="I74" s="30"/>
      <c r="J74" s="30"/>
      <c r="L74" s="1" t="str">
        <f t="shared" si="2"/>
        <v/>
      </c>
      <c r="M74" s="30" t="str">
        <f t="shared" si="3"/>
        <v/>
      </c>
    </row>
    <row r="75" spans="6:13">
      <c r="F75" s="35"/>
      <c r="G75" s="35"/>
      <c r="H75" s="30"/>
      <c r="I75" s="30"/>
      <c r="J75" s="30"/>
      <c r="L75" s="1" t="str">
        <f t="shared" si="2"/>
        <v/>
      </c>
      <c r="M75" s="30" t="str">
        <f t="shared" si="3"/>
        <v/>
      </c>
    </row>
    <row r="76" spans="6:13">
      <c r="F76" s="35"/>
      <c r="G76" s="35"/>
      <c r="H76" s="30"/>
      <c r="I76" s="30"/>
      <c r="J76" s="30"/>
      <c r="L76" s="1" t="str">
        <f t="shared" si="2"/>
        <v/>
      </c>
      <c r="M76" s="30" t="str">
        <f t="shared" si="3"/>
        <v/>
      </c>
    </row>
    <row r="77" spans="6:13">
      <c r="F77" s="35"/>
      <c r="G77" s="35"/>
      <c r="H77" s="30"/>
      <c r="I77" s="30"/>
      <c r="J77" s="30"/>
      <c r="L77" s="1" t="str">
        <f t="shared" ref="L77:L108" si="4">IF(A77="","",A77&amp;" | "&amp;B77)</f>
        <v/>
      </c>
      <c r="M77" s="30" t="str">
        <f t="shared" ref="M77:M108" si="5">IF(A77="","",SUM(H77:J77))</f>
        <v/>
      </c>
    </row>
    <row r="78" spans="6:13">
      <c r="F78" s="35"/>
      <c r="G78" s="35"/>
      <c r="H78" s="30"/>
      <c r="I78" s="30"/>
      <c r="J78" s="30"/>
      <c r="L78" s="1" t="str">
        <f t="shared" si="4"/>
        <v/>
      </c>
      <c r="M78" s="30" t="str">
        <f t="shared" si="5"/>
        <v/>
      </c>
    </row>
    <row r="79" spans="6:13">
      <c r="F79" s="35"/>
      <c r="G79" s="35"/>
      <c r="H79" s="30"/>
      <c r="I79" s="30"/>
      <c r="J79" s="30"/>
      <c r="L79" s="1" t="str">
        <f t="shared" si="4"/>
        <v/>
      </c>
      <c r="M79" s="30" t="str">
        <f t="shared" si="5"/>
        <v/>
      </c>
    </row>
    <row r="80" spans="6:13">
      <c r="F80" s="35"/>
      <c r="G80" s="35"/>
      <c r="H80" s="30"/>
      <c r="I80" s="30"/>
      <c r="J80" s="30"/>
      <c r="L80" s="1" t="str">
        <f t="shared" si="4"/>
        <v/>
      </c>
      <c r="M80" s="30" t="str">
        <f t="shared" si="5"/>
        <v/>
      </c>
    </row>
    <row r="81" spans="6:13">
      <c r="F81" s="35"/>
      <c r="G81" s="35"/>
      <c r="H81" s="30"/>
      <c r="I81" s="30"/>
      <c r="J81" s="30"/>
      <c r="L81" s="1" t="str">
        <f t="shared" si="4"/>
        <v/>
      </c>
      <c r="M81" s="30" t="str">
        <f t="shared" si="5"/>
        <v/>
      </c>
    </row>
    <row r="82" spans="6:13">
      <c r="F82" s="35"/>
      <c r="G82" s="35"/>
      <c r="H82" s="30"/>
      <c r="I82" s="30"/>
      <c r="J82" s="30"/>
      <c r="L82" s="1" t="str">
        <f t="shared" si="4"/>
        <v/>
      </c>
      <c r="M82" s="30" t="str">
        <f t="shared" si="5"/>
        <v/>
      </c>
    </row>
    <row r="83" spans="6:13">
      <c r="F83" s="35"/>
      <c r="G83" s="35"/>
      <c r="H83" s="30"/>
      <c r="I83" s="30"/>
      <c r="J83" s="30"/>
      <c r="L83" s="1" t="str">
        <f t="shared" si="4"/>
        <v/>
      </c>
      <c r="M83" s="30" t="str">
        <f t="shared" si="5"/>
        <v/>
      </c>
    </row>
    <row r="84" spans="6:13">
      <c r="F84" s="35"/>
      <c r="G84" s="35"/>
      <c r="H84" s="30"/>
      <c r="I84" s="30"/>
      <c r="J84" s="30"/>
      <c r="L84" s="1" t="str">
        <f t="shared" si="4"/>
        <v/>
      </c>
      <c r="M84" s="30" t="str">
        <f t="shared" si="5"/>
        <v/>
      </c>
    </row>
    <row r="85" spans="6:13">
      <c r="F85" s="35"/>
      <c r="G85" s="35"/>
      <c r="H85" s="30"/>
      <c r="I85" s="30"/>
      <c r="J85" s="30"/>
      <c r="L85" s="1" t="str">
        <f t="shared" si="4"/>
        <v/>
      </c>
      <c r="M85" s="30" t="str">
        <f t="shared" si="5"/>
        <v/>
      </c>
    </row>
    <row r="86" spans="6:13">
      <c r="F86" s="35"/>
      <c r="G86" s="35"/>
      <c r="H86" s="30"/>
      <c r="I86" s="30"/>
      <c r="J86" s="30"/>
      <c r="L86" s="1" t="str">
        <f t="shared" si="4"/>
        <v/>
      </c>
      <c r="M86" s="30" t="str">
        <f t="shared" si="5"/>
        <v/>
      </c>
    </row>
    <row r="87" spans="6:13">
      <c r="F87" s="35"/>
      <c r="G87" s="35"/>
      <c r="H87" s="30"/>
      <c r="I87" s="30"/>
      <c r="J87" s="30"/>
      <c r="L87" s="1" t="str">
        <f t="shared" si="4"/>
        <v/>
      </c>
      <c r="M87" s="30" t="str">
        <f t="shared" si="5"/>
        <v/>
      </c>
    </row>
    <row r="88" spans="6:13">
      <c r="F88" s="35"/>
      <c r="G88" s="35"/>
      <c r="H88" s="30"/>
      <c r="I88" s="30"/>
      <c r="J88" s="30"/>
      <c r="L88" s="1" t="str">
        <f t="shared" si="4"/>
        <v/>
      </c>
      <c r="M88" s="30" t="str">
        <f t="shared" si="5"/>
        <v/>
      </c>
    </row>
    <row r="89" spans="6:13">
      <c r="F89" s="35"/>
      <c r="G89" s="35"/>
      <c r="H89" s="30"/>
      <c r="I89" s="30"/>
      <c r="J89" s="30"/>
      <c r="L89" s="1" t="str">
        <f t="shared" si="4"/>
        <v/>
      </c>
      <c r="M89" s="30" t="str">
        <f t="shared" si="5"/>
        <v/>
      </c>
    </row>
    <row r="90" spans="6:13">
      <c r="F90" s="35"/>
      <c r="G90" s="35"/>
      <c r="H90" s="30"/>
      <c r="I90" s="30"/>
      <c r="J90" s="30"/>
      <c r="L90" s="1" t="str">
        <f t="shared" si="4"/>
        <v/>
      </c>
      <c r="M90" s="30" t="str">
        <f t="shared" si="5"/>
        <v/>
      </c>
    </row>
    <row r="91" spans="6:13">
      <c r="F91" s="35"/>
      <c r="G91" s="35"/>
      <c r="H91" s="30"/>
      <c r="I91" s="30"/>
      <c r="J91" s="30"/>
      <c r="L91" s="1" t="str">
        <f t="shared" si="4"/>
        <v/>
      </c>
      <c r="M91" s="30" t="str">
        <f t="shared" si="5"/>
        <v/>
      </c>
    </row>
    <row r="92" spans="6:13">
      <c r="F92" s="35"/>
      <c r="G92" s="35"/>
      <c r="H92" s="30"/>
      <c r="I92" s="30"/>
      <c r="J92" s="30"/>
      <c r="L92" s="1" t="str">
        <f t="shared" si="4"/>
        <v/>
      </c>
      <c r="M92" s="30" t="str">
        <f t="shared" si="5"/>
        <v/>
      </c>
    </row>
    <row r="93" spans="6:13">
      <c r="F93" s="35"/>
      <c r="G93" s="35"/>
      <c r="H93" s="30"/>
      <c r="I93" s="30"/>
      <c r="J93" s="30"/>
      <c r="L93" s="1" t="str">
        <f t="shared" si="4"/>
        <v/>
      </c>
      <c r="M93" s="30" t="str">
        <f t="shared" si="5"/>
        <v/>
      </c>
    </row>
    <row r="94" spans="6:13">
      <c r="F94" s="35"/>
      <c r="G94" s="35"/>
      <c r="H94" s="30"/>
      <c r="I94" s="30"/>
      <c r="J94" s="30"/>
      <c r="L94" s="1" t="str">
        <f t="shared" si="4"/>
        <v/>
      </c>
      <c r="M94" s="30" t="str">
        <f t="shared" si="5"/>
        <v/>
      </c>
    </row>
    <row r="95" spans="6:13">
      <c r="F95" s="35"/>
      <c r="G95" s="35"/>
      <c r="H95" s="30"/>
      <c r="I95" s="30"/>
      <c r="J95" s="30"/>
      <c r="L95" s="1" t="str">
        <f t="shared" si="4"/>
        <v/>
      </c>
      <c r="M95" s="30" t="str">
        <f t="shared" si="5"/>
        <v/>
      </c>
    </row>
    <row r="96" spans="6:13">
      <c r="F96" s="35"/>
      <c r="G96" s="35"/>
      <c r="H96" s="30"/>
      <c r="I96" s="30"/>
      <c r="J96" s="30"/>
      <c r="L96" s="1" t="str">
        <f t="shared" si="4"/>
        <v/>
      </c>
      <c r="M96" s="30" t="str">
        <f t="shared" si="5"/>
        <v/>
      </c>
    </row>
    <row r="97" spans="6:13">
      <c r="F97" s="35"/>
      <c r="G97" s="35"/>
      <c r="H97" s="30"/>
      <c r="I97" s="30"/>
      <c r="J97" s="30"/>
      <c r="L97" s="1" t="str">
        <f t="shared" si="4"/>
        <v/>
      </c>
      <c r="M97" s="30" t="str">
        <f t="shared" si="5"/>
        <v/>
      </c>
    </row>
    <row r="98" spans="6:13">
      <c r="F98" s="35"/>
      <c r="G98" s="35"/>
      <c r="H98" s="30"/>
      <c r="I98" s="30"/>
      <c r="J98" s="30"/>
      <c r="L98" s="1" t="str">
        <f t="shared" si="4"/>
        <v/>
      </c>
      <c r="M98" s="30" t="str">
        <f t="shared" si="5"/>
        <v/>
      </c>
    </row>
    <row r="99" spans="6:13">
      <c r="F99" s="35"/>
      <c r="G99" s="35"/>
      <c r="H99" s="30"/>
      <c r="I99" s="30"/>
      <c r="J99" s="30"/>
      <c r="L99" s="1" t="str">
        <f t="shared" si="4"/>
        <v/>
      </c>
      <c r="M99" s="30" t="str">
        <f t="shared" si="5"/>
        <v/>
      </c>
    </row>
    <row r="100" spans="6:13">
      <c r="F100" s="35"/>
      <c r="G100" s="35"/>
      <c r="H100" s="30"/>
      <c r="I100" s="30"/>
      <c r="J100" s="30"/>
      <c r="L100" s="1" t="str">
        <f t="shared" si="4"/>
        <v/>
      </c>
      <c r="M100" s="30" t="str">
        <f t="shared" si="5"/>
        <v/>
      </c>
    </row>
    <row r="101" spans="6:13">
      <c r="F101" s="35"/>
      <c r="G101" s="35"/>
      <c r="H101" s="30"/>
      <c r="I101" s="30"/>
      <c r="J101" s="30"/>
      <c r="L101" s="1" t="str">
        <f t="shared" si="4"/>
        <v/>
      </c>
      <c r="M101" s="30" t="str">
        <f t="shared" si="5"/>
        <v/>
      </c>
    </row>
    <row r="102" spans="6:13">
      <c r="F102" s="35"/>
      <c r="G102" s="35"/>
      <c r="H102" s="30"/>
      <c r="I102" s="30"/>
      <c r="J102" s="30"/>
      <c r="L102" s="1" t="str">
        <f t="shared" si="4"/>
        <v/>
      </c>
      <c r="M102" s="30" t="str">
        <f t="shared" si="5"/>
        <v/>
      </c>
    </row>
    <row r="103" spans="6:13">
      <c r="F103" s="35"/>
      <c r="G103" s="35"/>
      <c r="H103" s="30"/>
      <c r="I103" s="30"/>
      <c r="J103" s="30"/>
      <c r="L103" s="1" t="str">
        <f t="shared" si="4"/>
        <v/>
      </c>
      <c r="M103" s="30" t="str">
        <f t="shared" si="5"/>
        <v/>
      </c>
    </row>
    <row r="104" spans="6:13">
      <c r="F104" s="35"/>
      <c r="G104" s="35"/>
      <c r="H104" s="30"/>
      <c r="I104" s="30"/>
      <c r="J104" s="30"/>
      <c r="L104" s="1" t="str">
        <f t="shared" si="4"/>
        <v/>
      </c>
      <c r="M104" s="30" t="str">
        <f t="shared" si="5"/>
        <v/>
      </c>
    </row>
    <row r="105" spans="6:13">
      <c r="F105" s="35"/>
      <c r="G105" s="35"/>
      <c r="H105" s="30"/>
      <c r="I105" s="30"/>
      <c r="J105" s="30"/>
      <c r="L105" s="1" t="str">
        <f t="shared" si="4"/>
        <v/>
      </c>
      <c r="M105" s="30" t="str">
        <f t="shared" si="5"/>
        <v/>
      </c>
    </row>
    <row r="106" spans="6:13">
      <c r="F106" s="35"/>
      <c r="G106" s="35"/>
      <c r="H106" s="30"/>
      <c r="I106" s="30"/>
      <c r="J106" s="30"/>
      <c r="L106" s="1" t="str">
        <f t="shared" si="4"/>
        <v/>
      </c>
      <c r="M106" s="30" t="str">
        <f t="shared" si="5"/>
        <v/>
      </c>
    </row>
    <row r="107" spans="6:13">
      <c r="F107" s="35"/>
      <c r="G107" s="35"/>
      <c r="H107" s="30"/>
      <c r="I107" s="30"/>
      <c r="J107" s="30"/>
      <c r="L107" s="1" t="str">
        <f t="shared" si="4"/>
        <v/>
      </c>
      <c r="M107" s="30" t="str">
        <f t="shared" si="5"/>
        <v/>
      </c>
    </row>
    <row r="108" spans="6:13">
      <c r="F108" s="35"/>
      <c r="G108" s="35"/>
      <c r="H108" s="30"/>
      <c r="I108" s="30"/>
      <c r="J108" s="30"/>
      <c r="L108" s="1" t="str">
        <f t="shared" si="4"/>
        <v/>
      </c>
      <c r="M108" s="30" t="str">
        <f t="shared" si="5"/>
        <v/>
      </c>
    </row>
    <row r="109" spans="6:13">
      <c r="F109" s="35"/>
      <c r="G109" s="35"/>
      <c r="H109" s="30"/>
      <c r="I109" s="30"/>
      <c r="J109" s="30"/>
      <c r="L109" s="1" t="str">
        <f t="shared" ref="L109:L140" si="6">IF(A109="","",A109&amp;" | "&amp;B109)</f>
        <v/>
      </c>
      <c r="M109" s="30" t="str">
        <f t="shared" ref="M109:M140" si="7">IF(A109="","",SUM(H109:J109))</f>
        <v/>
      </c>
    </row>
    <row r="110" spans="6:13">
      <c r="F110" s="35"/>
      <c r="G110" s="35"/>
      <c r="H110" s="30"/>
      <c r="I110" s="30"/>
      <c r="J110" s="30"/>
      <c r="L110" s="1" t="str">
        <f t="shared" si="6"/>
        <v/>
      </c>
      <c r="M110" s="30" t="str">
        <f t="shared" si="7"/>
        <v/>
      </c>
    </row>
    <row r="111" spans="6:13">
      <c r="F111" s="35"/>
      <c r="G111" s="35"/>
      <c r="H111" s="30"/>
      <c r="I111" s="30"/>
      <c r="J111" s="30"/>
      <c r="L111" s="1" t="str">
        <f t="shared" si="6"/>
        <v/>
      </c>
      <c r="M111" s="30" t="str">
        <f t="shared" si="7"/>
        <v/>
      </c>
    </row>
    <row r="112" spans="6:13">
      <c r="F112" s="35"/>
      <c r="G112" s="35"/>
      <c r="H112" s="30"/>
      <c r="I112" s="30"/>
      <c r="J112" s="30"/>
      <c r="L112" s="1" t="str">
        <f t="shared" si="6"/>
        <v/>
      </c>
      <c r="M112" s="30" t="str">
        <f t="shared" si="7"/>
        <v/>
      </c>
    </row>
    <row r="113" spans="6:13">
      <c r="F113" s="35"/>
      <c r="G113" s="35"/>
      <c r="H113" s="30"/>
      <c r="I113" s="30"/>
      <c r="J113" s="30"/>
      <c r="L113" s="1" t="str">
        <f t="shared" si="6"/>
        <v/>
      </c>
      <c r="M113" s="30" t="str">
        <f t="shared" si="7"/>
        <v/>
      </c>
    </row>
    <row r="114" spans="6:13">
      <c r="F114" s="35"/>
      <c r="G114" s="35"/>
      <c r="H114" s="30"/>
      <c r="I114" s="30"/>
      <c r="J114" s="30"/>
      <c r="L114" s="1" t="str">
        <f t="shared" si="6"/>
        <v/>
      </c>
      <c r="M114" s="30" t="str">
        <f t="shared" si="7"/>
        <v/>
      </c>
    </row>
    <row r="115" spans="6:13">
      <c r="F115" s="35"/>
      <c r="G115" s="35"/>
      <c r="H115" s="30"/>
      <c r="I115" s="30"/>
      <c r="J115" s="30"/>
      <c r="L115" s="1" t="str">
        <f t="shared" si="6"/>
        <v/>
      </c>
      <c r="M115" s="30" t="str">
        <f t="shared" si="7"/>
        <v/>
      </c>
    </row>
    <row r="116" spans="6:13">
      <c r="F116" s="35"/>
      <c r="G116" s="35"/>
      <c r="H116" s="30"/>
      <c r="I116" s="30"/>
      <c r="J116" s="30"/>
      <c r="L116" s="1" t="str">
        <f t="shared" si="6"/>
        <v/>
      </c>
      <c r="M116" s="30" t="str">
        <f t="shared" si="7"/>
        <v/>
      </c>
    </row>
    <row r="117" spans="6:13">
      <c r="F117" s="35"/>
      <c r="G117" s="35"/>
      <c r="H117" s="30"/>
      <c r="I117" s="30"/>
      <c r="J117" s="30"/>
      <c r="L117" s="1" t="str">
        <f t="shared" si="6"/>
        <v/>
      </c>
      <c r="M117" s="30" t="str">
        <f t="shared" si="7"/>
        <v/>
      </c>
    </row>
    <row r="118" spans="6:13">
      <c r="F118" s="35"/>
      <c r="G118" s="35"/>
      <c r="H118" s="30"/>
      <c r="I118" s="30"/>
      <c r="J118" s="30"/>
      <c r="L118" s="1" t="str">
        <f t="shared" si="6"/>
        <v/>
      </c>
      <c r="M118" s="30" t="str">
        <f t="shared" si="7"/>
        <v/>
      </c>
    </row>
    <row r="119" spans="6:13">
      <c r="F119" s="35"/>
      <c r="G119" s="35"/>
      <c r="H119" s="30"/>
      <c r="I119" s="30"/>
      <c r="J119" s="30"/>
      <c r="L119" s="1" t="str">
        <f t="shared" si="6"/>
        <v/>
      </c>
      <c r="M119" s="30" t="str">
        <f t="shared" si="7"/>
        <v/>
      </c>
    </row>
    <row r="120" spans="6:13">
      <c r="F120" s="35"/>
      <c r="G120" s="35"/>
      <c r="H120" s="30"/>
      <c r="I120" s="30"/>
      <c r="J120" s="30"/>
      <c r="L120" s="1" t="str">
        <f t="shared" si="6"/>
        <v/>
      </c>
      <c r="M120" s="30" t="str">
        <f t="shared" si="7"/>
        <v/>
      </c>
    </row>
    <row r="121" spans="6:13">
      <c r="F121" s="35"/>
      <c r="G121" s="35"/>
      <c r="H121" s="30"/>
      <c r="I121" s="30"/>
      <c r="J121" s="30"/>
      <c r="L121" s="1" t="str">
        <f t="shared" si="6"/>
        <v/>
      </c>
      <c r="M121" s="30" t="str">
        <f t="shared" si="7"/>
        <v/>
      </c>
    </row>
    <row r="122" spans="6:13">
      <c r="F122" s="35"/>
      <c r="G122" s="35"/>
      <c r="H122" s="30"/>
      <c r="I122" s="30"/>
      <c r="J122" s="30"/>
      <c r="L122" s="1" t="str">
        <f t="shared" si="6"/>
        <v/>
      </c>
      <c r="M122" s="30" t="str">
        <f t="shared" si="7"/>
        <v/>
      </c>
    </row>
    <row r="123" spans="6:13">
      <c r="F123" s="35"/>
      <c r="G123" s="35"/>
      <c r="H123" s="30"/>
      <c r="I123" s="30"/>
      <c r="J123" s="30"/>
      <c r="L123" s="1" t="str">
        <f t="shared" si="6"/>
        <v/>
      </c>
      <c r="M123" s="30" t="str">
        <f t="shared" si="7"/>
        <v/>
      </c>
    </row>
    <row r="124" spans="6:13">
      <c r="F124" s="35"/>
      <c r="G124" s="35"/>
      <c r="H124" s="30"/>
      <c r="I124" s="30"/>
      <c r="J124" s="30"/>
      <c r="L124" s="1" t="str">
        <f t="shared" si="6"/>
        <v/>
      </c>
      <c r="M124" s="30" t="str">
        <f t="shared" si="7"/>
        <v/>
      </c>
    </row>
    <row r="125" spans="6:13">
      <c r="F125" s="35"/>
      <c r="G125" s="35"/>
      <c r="H125" s="30"/>
      <c r="I125" s="30"/>
      <c r="J125" s="30"/>
      <c r="L125" s="1" t="str">
        <f t="shared" si="6"/>
        <v/>
      </c>
      <c r="M125" s="30" t="str">
        <f t="shared" si="7"/>
        <v/>
      </c>
    </row>
    <row r="126" spans="6:13">
      <c r="F126" s="35"/>
      <c r="G126" s="35"/>
      <c r="H126" s="30"/>
      <c r="I126" s="30"/>
      <c r="J126" s="30"/>
      <c r="L126" s="1" t="str">
        <f t="shared" si="6"/>
        <v/>
      </c>
      <c r="M126" s="30" t="str">
        <f t="shared" si="7"/>
        <v/>
      </c>
    </row>
    <row r="127" spans="6:13">
      <c r="F127" s="35"/>
      <c r="G127" s="35"/>
      <c r="H127" s="30"/>
      <c r="I127" s="30"/>
      <c r="J127" s="30"/>
      <c r="L127" s="1" t="str">
        <f t="shared" si="6"/>
        <v/>
      </c>
      <c r="M127" s="30" t="str">
        <f t="shared" si="7"/>
        <v/>
      </c>
    </row>
    <row r="128" spans="6:13">
      <c r="F128" s="35"/>
      <c r="G128" s="35"/>
      <c r="H128" s="30"/>
      <c r="I128" s="30"/>
      <c r="J128" s="30"/>
      <c r="L128" s="1" t="str">
        <f t="shared" si="6"/>
        <v/>
      </c>
      <c r="M128" s="30" t="str">
        <f t="shared" si="7"/>
        <v/>
      </c>
    </row>
    <row r="129" spans="6:13">
      <c r="F129" s="35"/>
      <c r="G129" s="35"/>
      <c r="H129" s="30"/>
      <c r="I129" s="30"/>
      <c r="J129" s="30"/>
      <c r="L129" s="1" t="str">
        <f t="shared" si="6"/>
        <v/>
      </c>
      <c r="M129" s="30" t="str">
        <f t="shared" si="7"/>
        <v/>
      </c>
    </row>
    <row r="130" spans="6:13">
      <c r="F130" s="35"/>
      <c r="G130" s="35"/>
      <c r="H130" s="30"/>
      <c r="I130" s="30"/>
      <c r="J130" s="30"/>
      <c r="L130" s="1" t="str">
        <f t="shared" si="6"/>
        <v/>
      </c>
      <c r="M130" s="30" t="str">
        <f t="shared" si="7"/>
        <v/>
      </c>
    </row>
    <row r="131" spans="6:13">
      <c r="F131" s="35"/>
      <c r="G131" s="35"/>
      <c r="H131" s="30"/>
      <c r="I131" s="30"/>
      <c r="J131" s="30"/>
      <c r="L131" s="1" t="str">
        <f t="shared" si="6"/>
        <v/>
      </c>
      <c r="M131" s="30" t="str">
        <f t="shared" si="7"/>
        <v/>
      </c>
    </row>
    <row r="132" spans="6:13">
      <c r="F132" s="35"/>
      <c r="G132" s="35"/>
      <c r="H132" s="30"/>
      <c r="I132" s="30"/>
      <c r="J132" s="30"/>
      <c r="L132" s="1" t="str">
        <f t="shared" si="6"/>
        <v/>
      </c>
      <c r="M132" s="30" t="str">
        <f t="shared" si="7"/>
        <v/>
      </c>
    </row>
    <row r="133" spans="6:13">
      <c r="F133" s="35"/>
      <c r="G133" s="35"/>
      <c r="H133" s="30"/>
      <c r="I133" s="30"/>
      <c r="J133" s="30"/>
      <c r="L133" s="1" t="str">
        <f t="shared" si="6"/>
        <v/>
      </c>
      <c r="M133" s="30" t="str">
        <f t="shared" si="7"/>
        <v/>
      </c>
    </row>
    <row r="134" spans="6:13">
      <c r="F134" s="35"/>
      <c r="G134" s="35"/>
      <c r="H134" s="30"/>
      <c r="I134" s="30"/>
      <c r="J134" s="30"/>
      <c r="L134" s="1" t="str">
        <f t="shared" si="6"/>
        <v/>
      </c>
      <c r="M134" s="30" t="str">
        <f t="shared" si="7"/>
        <v/>
      </c>
    </row>
    <row r="135" spans="6:13">
      <c r="F135" s="35"/>
      <c r="G135" s="35"/>
      <c r="H135" s="30"/>
      <c r="I135" s="30"/>
      <c r="J135" s="30"/>
      <c r="L135" s="1" t="str">
        <f t="shared" si="6"/>
        <v/>
      </c>
      <c r="M135" s="30" t="str">
        <f t="shared" si="7"/>
        <v/>
      </c>
    </row>
    <row r="136" spans="6:13">
      <c r="F136" s="35"/>
      <c r="G136" s="35"/>
      <c r="H136" s="30"/>
      <c r="I136" s="30"/>
      <c r="J136" s="30"/>
      <c r="L136" s="1" t="str">
        <f t="shared" si="6"/>
        <v/>
      </c>
      <c r="M136" s="30" t="str">
        <f t="shared" si="7"/>
        <v/>
      </c>
    </row>
    <row r="137" spans="6:13">
      <c r="F137" s="35"/>
      <c r="G137" s="35"/>
      <c r="H137" s="30"/>
      <c r="I137" s="30"/>
      <c r="J137" s="30"/>
      <c r="L137" s="1" t="str">
        <f t="shared" si="6"/>
        <v/>
      </c>
      <c r="M137" s="30" t="str">
        <f t="shared" si="7"/>
        <v/>
      </c>
    </row>
    <row r="138" spans="6:13">
      <c r="F138" s="35"/>
      <c r="G138" s="35"/>
      <c r="H138" s="30"/>
      <c r="I138" s="30"/>
      <c r="J138" s="30"/>
      <c r="L138" s="1" t="str">
        <f t="shared" si="6"/>
        <v/>
      </c>
      <c r="M138" s="30" t="str">
        <f t="shared" si="7"/>
        <v/>
      </c>
    </row>
    <row r="139" spans="6:13">
      <c r="F139" s="35"/>
      <c r="G139" s="35"/>
      <c r="H139" s="30"/>
      <c r="I139" s="30"/>
      <c r="J139" s="30"/>
      <c r="L139" s="1" t="str">
        <f t="shared" si="6"/>
        <v/>
      </c>
      <c r="M139" s="30" t="str">
        <f t="shared" si="7"/>
        <v/>
      </c>
    </row>
    <row r="140" spans="6:13">
      <c r="F140" s="35"/>
      <c r="G140" s="35"/>
      <c r="H140" s="30"/>
      <c r="I140" s="30"/>
      <c r="J140" s="30"/>
      <c r="L140" s="1" t="str">
        <f t="shared" si="6"/>
        <v/>
      </c>
      <c r="M140" s="30" t="str">
        <f t="shared" si="7"/>
        <v/>
      </c>
    </row>
    <row r="141" spans="6:13">
      <c r="F141" s="35"/>
      <c r="G141" s="35"/>
      <c r="H141" s="30"/>
      <c r="I141" s="30"/>
      <c r="J141" s="30"/>
      <c r="L141" s="1" t="str">
        <f t="shared" ref="L141:L172" si="8">IF(A141="","",A141&amp;" | "&amp;B141)</f>
        <v/>
      </c>
      <c r="M141" s="30" t="str">
        <f t="shared" ref="M141:M172" si="9">IF(A141="","",SUM(H141:J141))</f>
        <v/>
      </c>
    </row>
    <row r="142" spans="6:13">
      <c r="F142" s="35"/>
      <c r="G142" s="35"/>
      <c r="H142" s="30"/>
      <c r="I142" s="30"/>
      <c r="J142" s="30"/>
      <c r="L142" s="1" t="str">
        <f t="shared" si="8"/>
        <v/>
      </c>
      <c r="M142" s="30" t="str">
        <f t="shared" si="9"/>
        <v/>
      </c>
    </row>
    <row r="143" spans="6:13">
      <c r="F143" s="35"/>
      <c r="G143" s="35"/>
      <c r="H143" s="30"/>
      <c r="I143" s="30"/>
      <c r="J143" s="30"/>
      <c r="L143" s="1" t="str">
        <f t="shared" si="8"/>
        <v/>
      </c>
      <c r="M143" s="30" t="str">
        <f t="shared" si="9"/>
        <v/>
      </c>
    </row>
    <row r="144" spans="6:13">
      <c r="F144" s="35"/>
      <c r="G144" s="35"/>
      <c r="H144" s="30"/>
      <c r="I144" s="30"/>
      <c r="J144" s="30"/>
      <c r="L144" s="1" t="str">
        <f t="shared" si="8"/>
        <v/>
      </c>
      <c r="M144" s="30" t="str">
        <f t="shared" si="9"/>
        <v/>
      </c>
    </row>
    <row r="145" spans="6:13">
      <c r="F145" s="35"/>
      <c r="G145" s="35"/>
      <c r="H145" s="30"/>
      <c r="I145" s="30"/>
      <c r="J145" s="30"/>
      <c r="L145" s="1" t="str">
        <f t="shared" si="8"/>
        <v/>
      </c>
      <c r="M145" s="30" t="str">
        <f t="shared" si="9"/>
        <v/>
      </c>
    </row>
    <row r="146" spans="6:13">
      <c r="F146" s="35"/>
      <c r="G146" s="35"/>
      <c r="H146" s="30"/>
      <c r="I146" s="30"/>
      <c r="J146" s="30"/>
      <c r="L146" s="1" t="str">
        <f t="shared" si="8"/>
        <v/>
      </c>
      <c r="M146" s="30" t="str">
        <f t="shared" si="9"/>
        <v/>
      </c>
    </row>
    <row r="147" spans="6:13">
      <c r="F147" s="35"/>
      <c r="G147" s="35"/>
      <c r="H147" s="30"/>
      <c r="I147" s="30"/>
      <c r="J147" s="30"/>
      <c r="L147" s="1" t="str">
        <f t="shared" si="8"/>
        <v/>
      </c>
      <c r="M147" s="30" t="str">
        <f t="shared" si="9"/>
        <v/>
      </c>
    </row>
    <row r="148" spans="6:13">
      <c r="F148" s="35"/>
      <c r="G148" s="35"/>
      <c r="H148" s="30"/>
      <c r="I148" s="30"/>
      <c r="J148" s="30"/>
      <c r="L148" s="1" t="str">
        <f t="shared" si="8"/>
        <v/>
      </c>
      <c r="M148" s="30" t="str">
        <f t="shared" si="9"/>
        <v/>
      </c>
    </row>
    <row r="149" spans="6:13">
      <c r="F149" s="35"/>
      <c r="G149" s="35"/>
      <c r="H149" s="30"/>
      <c r="I149" s="30"/>
      <c r="J149" s="30"/>
      <c r="L149" s="1" t="str">
        <f t="shared" si="8"/>
        <v/>
      </c>
      <c r="M149" s="30" t="str">
        <f t="shared" si="9"/>
        <v/>
      </c>
    </row>
    <row r="150" spans="6:13">
      <c r="F150" s="35"/>
      <c r="G150" s="35"/>
      <c r="H150" s="30"/>
      <c r="I150" s="30"/>
      <c r="J150" s="30"/>
      <c r="L150" s="1" t="str">
        <f t="shared" si="8"/>
        <v/>
      </c>
      <c r="M150" s="30" t="str">
        <f t="shared" si="9"/>
        <v/>
      </c>
    </row>
    <row r="151" spans="6:13">
      <c r="F151" s="35"/>
      <c r="G151" s="35"/>
      <c r="H151" s="30"/>
      <c r="I151" s="30"/>
      <c r="J151" s="30"/>
      <c r="L151" s="1" t="str">
        <f t="shared" si="8"/>
        <v/>
      </c>
      <c r="M151" s="30" t="str">
        <f t="shared" si="9"/>
        <v/>
      </c>
    </row>
    <row r="152" spans="6:13">
      <c r="F152" s="35"/>
      <c r="G152" s="35"/>
      <c r="H152" s="30"/>
      <c r="I152" s="30"/>
      <c r="J152" s="30"/>
      <c r="L152" s="1" t="str">
        <f t="shared" si="8"/>
        <v/>
      </c>
      <c r="M152" s="30" t="str">
        <f t="shared" si="9"/>
        <v/>
      </c>
    </row>
    <row r="153" spans="6:13">
      <c r="F153" s="35"/>
      <c r="G153" s="35"/>
      <c r="H153" s="30"/>
      <c r="I153" s="30"/>
      <c r="J153" s="30"/>
      <c r="L153" s="1" t="str">
        <f t="shared" si="8"/>
        <v/>
      </c>
      <c r="M153" s="30" t="str">
        <f t="shared" si="9"/>
        <v/>
      </c>
    </row>
    <row r="154" spans="6:13">
      <c r="F154" s="35"/>
      <c r="G154" s="35"/>
      <c r="H154" s="30"/>
      <c r="I154" s="30"/>
      <c r="J154" s="30"/>
      <c r="L154" s="1" t="str">
        <f t="shared" si="8"/>
        <v/>
      </c>
      <c r="M154" s="30" t="str">
        <f t="shared" si="9"/>
        <v/>
      </c>
    </row>
    <row r="155" spans="6:13">
      <c r="F155" s="35"/>
      <c r="G155" s="35"/>
      <c r="H155" s="30"/>
      <c r="I155" s="30"/>
      <c r="J155" s="30"/>
      <c r="L155" s="1" t="str">
        <f t="shared" si="8"/>
        <v/>
      </c>
      <c r="M155" s="30" t="str">
        <f t="shared" si="9"/>
        <v/>
      </c>
    </row>
    <row r="156" spans="6:13">
      <c r="F156" s="35"/>
      <c r="G156" s="35"/>
      <c r="H156" s="30"/>
      <c r="I156" s="30"/>
      <c r="J156" s="30"/>
      <c r="L156" s="1" t="str">
        <f t="shared" si="8"/>
        <v/>
      </c>
      <c r="M156" s="30" t="str">
        <f t="shared" si="9"/>
        <v/>
      </c>
    </row>
    <row r="157" spans="6:13">
      <c r="F157" s="35"/>
      <c r="G157" s="35"/>
      <c r="H157" s="30"/>
      <c r="I157" s="30"/>
      <c r="J157" s="30"/>
      <c r="L157" s="1" t="str">
        <f t="shared" si="8"/>
        <v/>
      </c>
      <c r="M157" s="30" t="str">
        <f t="shared" si="9"/>
        <v/>
      </c>
    </row>
    <row r="158" spans="6:13">
      <c r="F158" s="35"/>
      <c r="G158" s="35"/>
      <c r="H158" s="30"/>
      <c r="I158" s="30"/>
      <c r="J158" s="30"/>
      <c r="L158" s="1" t="str">
        <f t="shared" si="8"/>
        <v/>
      </c>
      <c r="M158" s="30" t="str">
        <f t="shared" si="9"/>
        <v/>
      </c>
    </row>
    <row r="159" spans="6:13">
      <c r="F159" s="35"/>
      <c r="G159" s="35"/>
      <c r="H159" s="30"/>
      <c r="I159" s="30"/>
      <c r="J159" s="30"/>
      <c r="L159" s="1" t="str">
        <f t="shared" si="8"/>
        <v/>
      </c>
      <c r="M159" s="30" t="str">
        <f t="shared" si="9"/>
        <v/>
      </c>
    </row>
    <row r="160" spans="6:13">
      <c r="F160" s="35"/>
      <c r="G160" s="35"/>
      <c r="H160" s="30"/>
      <c r="I160" s="30"/>
      <c r="J160" s="30"/>
      <c r="L160" s="1" t="str">
        <f t="shared" si="8"/>
        <v/>
      </c>
      <c r="M160" s="30" t="str">
        <f t="shared" si="9"/>
        <v/>
      </c>
    </row>
    <row r="161" spans="6:13">
      <c r="F161" s="35"/>
      <c r="G161" s="35"/>
      <c r="H161" s="30"/>
      <c r="I161" s="30"/>
      <c r="J161" s="30"/>
      <c r="L161" s="1" t="str">
        <f t="shared" si="8"/>
        <v/>
      </c>
      <c r="M161" s="30" t="str">
        <f t="shared" si="9"/>
        <v/>
      </c>
    </row>
    <row r="162" spans="6:13">
      <c r="F162" s="35"/>
      <c r="G162" s="35"/>
      <c r="H162" s="30"/>
      <c r="I162" s="30"/>
      <c r="J162" s="30"/>
      <c r="L162" s="1" t="str">
        <f t="shared" si="8"/>
        <v/>
      </c>
      <c r="M162" s="30" t="str">
        <f t="shared" si="9"/>
        <v/>
      </c>
    </row>
    <row r="163" spans="6:13">
      <c r="F163" s="35"/>
      <c r="G163" s="35"/>
      <c r="H163" s="30"/>
      <c r="I163" s="30"/>
      <c r="J163" s="30"/>
      <c r="L163" s="1" t="str">
        <f t="shared" si="8"/>
        <v/>
      </c>
      <c r="M163" s="30" t="str">
        <f t="shared" si="9"/>
        <v/>
      </c>
    </row>
    <row r="164" spans="6:13">
      <c r="F164" s="35"/>
      <c r="G164" s="35"/>
      <c r="H164" s="30"/>
      <c r="I164" s="30"/>
      <c r="J164" s="30"/>
      <c r="L164" s="1" t="str">
        <f t="shared" si="8"/>
        <v/>
      </c>
      <c r="M164" s="30" t="str">
        <f t="shared" si="9"/>
        <v/>
      </c>
    </row>
    <row r="165" spans="6:13">
      <c r="F165" s="35"/>
      <c r="G165" s="35"/>
      <c r="H165" s="30"/>
      <c r="I165" s="30"/>
      <c r="J165" s="30"/>
      <c r="L165" s="1" t="str">
        <f t="shared" si="8"/>
        <v/>
      </c>
      <c r="M165" s="30" t="str">
        <f t="shared" si="9"/>
        <v/>
      </c>
    </row>
    <row r="166" spans="6:13">
      <c r="F166" s="35"/>
      <c r="G166" s="35"/>
      <c r="H166" s="30"/>
      <c r="I166" s="30"/>
      <c r="J166" s="30"/>
      <c r="L166" s="1" t="str">
        <f t="shared" si="8"/>
        <v/>
      </c>
      <c r="M166" s="30" t="str">
        <f t="shared" si="9"/>
        <v/>
      </c>
    </row>
    <row r="167" spans="6:13">
      <c r="F167" s="35"/>
      <c r="G167" s="35"/>
      <c r="H167" s="30"/>
      <c r="I167" s="30"/>
      <c r="J167" s="30"/>
      <c r="L167" s="1" t="str">
        <f t="shared" si="8"/>
        <v/>
      </c>
      <c r="M167" s="30" t="str">
        <f t="shared" si="9"/>
        <v/>
      </c>
    </row>
    <row r="168" spans="6:13">
      <c r="F168" s="35"/>
      <c r="G168" s="35"/>
      <c r="H168" s="30"/>
      <c r="I168" s="30"/>
      <c r="J168" s="30"/>
      <c r="L168" s="1" t="str">
        <f t="shared" si="8"/>
        <v/>
      </c>
      <c r="M168" s="30" t="str">
        <f t="shared" si="9"/>
        <v/>
      </c>
    </row>
    <row r="169" spans="6:13">
      <c r="F169" s="35"/>
      <c r="G169" s="35"/>
      <c r="H169" s="30"/>
      <c r="I169" s="30"/>
      <c r="J169" s="30"/>
      <c r="L169" s="1" t="str">
        <f t="shared" si="8"/>
        <v/>
      </c>
      <c r="M169" s="30" t="str">
        <f t="shared" si="9"/>
        <v/>
      </c>
    </row>
    <row r="170" spans="6:13">
      <c r="F170" s="35"/>
      <c r="G170" s="35"/>
      <c r="H170" s="30"/>
      <c r="I170" s="30"/>
      <c r="J170" s="30"/>
      <c r="L170" s="1" t="str">
        <f t="shared" si="8"/>
        <v/>
      </c>
      <c r="M170" s="30" t="str">
        <f t="shared" si="9"/>
        <v/>
      </c>
    </row>
    <row r="171" spans="6:13">
      <c r="F171" s="35"/>
      <c r="G171" s="35"/>
      <c r="H171" s="30"/>
      <c r="I171" s="30"/>
      <c r="J171" s="30"/>
      <c r="L171" s="1" t="str">
        <f t="shared" si="8"/>
        <v/>
      </c>
      <c r="M171" s="30" t="str">
        <f t="shared" si="9"/>
        <v/>
      </c>
    </row>
    <row r="172" spans="6:13">
      <c r="F172" s="35"/>
      <c r="G172" s="35"/>
      <c r="H172" s="30"/>
      <c r="I172" s="30"/>
      <c r="J172" s="30"/>
      <c r="L172" s="1" t="str">
        <f t="shared" si="8"/>
        <v/>
      </c>
      <c r="M172" s="30" t="str">
        <f t="shared" si="9"/>
        <v/>
      </c>
    </row>
    <row r="173" spans="6:13">
      <c r="F173" s="35"/>
      <c r="G173" s="35"/>
      <c r="H173" s="30"/>
      <c r="I173" s="30"/>
      <c r="J173" s="30"/>
      <c r="L173" s="1" t="str">
        <f t="shared" ref="L173:L200" si="10">IF(A173="","",A173&amp;" | "&amp;B173)</f>
        <v/>
      </c>
      <c r="M173" s="30" t="str">
        <f t="shared" ref="M173:M200" si="11">IF(A173="","",SUM(H173:J173))</f>
        <v/>
      </c>
    </row>
    <row r="174" spans="6:13">
      <c r="F174" s="35"/>
      <c r="G174" s="35"/>
      <c r="H174" s="30"/>
      <c r="I174" s="30"/>
      <c r="J174" s="30"/>
      <c r="L174" s="1" t="str">
        <f t="shared" si="10"/>
        <v/>
      </c>
      <c r="M174" s="30" t="str">
        <f t="shared" si="11"/>
        <v/>
      </c>
    </row>
    <row r="175" spans="6:13">
      <c r="F175" s="35"/>
      <c r="G175" s="35"/>
      <c r="H175" s="30"/>
      <c r="I175" s="30"/>
      <c r="J175" s="30"/>
      <c r="L175" s="1" t="str">
        <f t="shared" si="10"/>
        <v/>
      </c>
      <c r="M175" s="30" t="str">
        <f t="shared" si="11"/>
        <v/>
      </c>
    </row>
    <row r="176" spans="6:13">
      <c r="F176" s="35"/>
      <c r="G176" s="35"/>
      <c r="H176" s="30"/>
      <c r="I176" s="30"/>
      <c r="J176" s="30"/>
      <c r="L176" s="1" t="str">
        <f t="shared" si="10"/>
        <v/>
      </c>
      <c r="M176" s="30" t="str">
        <f t="shared" si="11"/>
        <v/>
      </c>
    </row>
    <row r="177" spans="6:13">
      <c r="F177" s="35"/>
      <c r="G177" s="35"/>
      <c r="H177" s="30"/>
      <c r="I177" s="30"/>
      <c r="J177" s="30"/>
      <c r="L177" s="1" t="str">
        <f t="shared" si="10"/>
        <v/>
      </c>
      <c r="M177" s="30" t="str">
        <f t="shared" si="11"/>
        <v/>
      </c>
    </row>
    <row r="178" spans="6:13">
      <c r="F178" s="35"/>
      <c r="G178" s="35"/>
      <c r="H178" s="30"/>
      <c r="I178" s="30"/>
      <c r="J178" s="30"/>
      <c r="L178" s="1" t="str">
        <f t="shared" si="10"/>
        <v/>
      </c>
      <c r="M178" s="30" t="str">
        <f t="shared" si="11"/>
        <v/>
      </c>
    </row>
    <row r="179" spans="6:13">
      <c r="F179" s="35"/>
      <c r="G179" s="35"/>
      <c r="H179" s="30"/>
      <c r="I179" s="30"/>
      <c r="J179" s="30"/>
      <c r="L179" s="1" t="str">
        <f t="shared" si="10"/>
        <v/>
      </c>
      <c r="M179" s="30" t="str">
        <f t="shared" si="11"/>
        <v/>
      </c>
    </row>
    <row r="180" spans="6:13">
      <c r="F180" s="35"/>
      <c r="G180" s="35"/>
      <c r="H180" s="30"/>
      <c r="I180" s="30"/>
      <c r="J180" s="30"/>
      <c r="L180" s="1" t="str">
        <f t="shared" si="10"/>
        <v/>
      </c>
      <c r="M180" s="30" t="str">
        <f t="shared" si="11"/>
        <v/>
      </c>
    </row>
    <row r="181" spans="6:13">
      <c r="F181" s="35"/>
      <c r="G181" s="35"/>
      <c r="H181" s="30"/>
      <c r="I181" s="30"/>
      <c r="J181" s="30"/>
      <c r="L181" s="1" t="str">
        <f t="shared" si="10"/>
        <v/>
      </c>
      <c r="M181" s="30" t="str">
        <f t="shared" si="11"/>
        <v/>
      </c>
    </row>
    <row r="182" spans="6:13">
      <c r="F182" s="35"/>
      <c r="G182" s="35"/>
      <c r="H182" s="30"/>
      <c r="I182" s="30"/>
      <c r="J182" s="30"/>
      <c r="L182" s="1" t="str">
        <f t="shared" si="10"/>
        <v/>
      </c>
      <c r="M182" s="30" t="str">
        <f t="shared" si="11"/>
        <v/>
      </c>
    </row>
    <row r="183" spans="6:13">
      <c r="F183" s="35"/>
      <c r="G183" s="35"/>
      <c r="H183" s="30"/>
      <c r="I183" s="30"/>
      <c r="J183" s="30"/>
      <c r="L183" s="1" t="str">
        <f t="shared" si="10"/>
        <v/>
      </c>
      <c r="M183" s="30" t="str">
        <f t="shared" si="11"/>
        <v/>
      </c>
    </row>
    <row r="184" spans="6:13">
      <c r="F184" s="35"/>
      <c r="G184" s="35"/>
      <c r="H184" s="30"/>
      <c r="I184" s="30"/>
      <c r="J184" s="30"/>
      <c r="L184" s="1" t="str">
        <f t="shared" si="10"/>
        <v/>
      </c>
      <c r="M184" s="30" t="str">
        <f t="shared" si="11"/>
        <v/>
      </c>
    </row>
    <row r="185" spans="6:13">
      <c r="F185" s="35"/>
      <c r="G185" s="35"/>
      <c r="H185" s="30"/>
      <c r="I185" s="30"/>
      <c r="J185" s="30"/>
      <c r="L185" s="1" t="str">
        <f t="shared" si="10"/>
        <v/>
      </c>
      <c r="M185" s="30" t="str">
        <f t="shared" si="11"/>
        <v/>
      </c>
    </row>
    <row r="186" spans="6:13">
      <c r="F186" s="35"/>
      <c r="G186" s="35"/>
      <c r="H186" s="30"/>
      <c r="I186" s="30"/>
      <c r="J186" s="30"/>
      <c r="L186" s="1" t="str">
        <f t="shared" si="10"/>
        <v/>
      </c>
      <c r="M186" s="30" t="str">
        <f t="shared" si="11"/>
        <v/>
      </c>
    </row>
    <row r="187" spans="6:13">
      <c r="F187" s="35"/>
      <c r="G187" s="35"/>
      <c r="H187" s="30"/>
      <c r="I187" s="30"/>
      <c r="J187" s="30"/>
      <c r="L187" s="1" t="str">
        <f t="shared" si="10"/>
        <v/>
      </c>
      <c r="M187" s="30" t="str">
        <f t="shared" si="11"/>
        <v/>
      </c>
    </row>
    <row r="188" spans="6:13">
      <c r="F188" s="35"/>
      <c r="G188" s="35"/>
      <c r="H188" s="30"/>
      <c r="I188" s="30"/>
      <c r="J188" s="30"/>
      <c r="L188" s="1" t="str">
        <f t="shared" si="10"/>
        <v/>
      </c>
      <c r="M188" s="30" t="str">
        <f t="shared" si="11"/>
        <v/>
      </c>
    </row>
    <row r="189" spans="6:13">
      <c r="F189" s="35"/>
      <c r="G189" s="35"/>
      <c r="H189" s="30"/>
      <c r="I189" s="30"/>
      <c r="J189" s="30"/>
      <c r="L189" s="1" t="str">
        <f t="shared" si="10"/>
        <v/>
      </c>
      <c r="M189" s="30" t="str">
        <f t="shared" si="11"/>
        <v/>
      </c>
    </row>
    <row r="190" spans="6:13">
      <c r="F190" s="35"/>
      <c r="G190" s="35"/>
      <c r="H190" s="30"/>
      <c r="I190" s="30"/>
      <c r="J190" s="30"/>
      <c r="L190" s="1" t="str">
        <f t="shared" si="10"/>
        <v/>
      </c>
      <c r="M190" s="30" t="str">
        <f t="shared" si="11"/>
        <v/>
      </c>
    </row>
    <row r="191" spans="6:13">
      <c r="F191" s="35"/>
      <c r="G191" s="35"/>
      <c r="H191" s="30"/>
      <c r="I191" s="30"/>
      <c r="J191" s="30"/>
      <c r="L191" s="1" t="str">
        <f t="shared" si="10"/>
        <v/>
      </c>
      <c r="M191" s="30" t="str">
        <f t="shared" si="11"/>
        <v/>
      </c>
    </row>
    <row r="192" spans="6:13">
      <c r="F192" s="35"/>
      <c r="G192" s="35"/>
      <c r="H192" s="30"/>
      <c r="I192" s="30"/>
      <c r="J192" s="30"/>
      <c r="L192" s="1" t="str">
        <f t="shared" si="10"/>
        <v/>
      </c>
      <c r="M192" s="30" t="str">
        <f t="shared" si="11"/>
        <v/>
      </c>
    </row>
    <row r="193" spans="6:13">
      <c r="F193" s="35"/>
      <c r="G193" s="35"/>
      <c r="H193" s="30"/>
      <c r="I193" s="30"/>
      <c r="J193" s="30"/>
      <c r="L193" s="1" t="str">
        <f t="shared" si="10"/>
        <v/>
      </c>
      <c r="M193" s="30" t="str">
        <f t="shared" si="11"/>
        <v/>
      </c>
    </row>
    <row r="194" spans="6:13">
      <c r="F194" s="35"/>
      <c r="G194" s="35"/>
      <c r="H194" s="30"/>
      <c r="I194" s="30"/>
      <c r="J194" s="30"/>
      <c r="L194" s="1" t="str">
        <f t="shared" si="10"/>
        <v/>
      </c>
      <c r="M194" s="30" t="str">
        <f t="shared" si="11"/>
        <v/>
      </c>
    </row>
    <row r="195" spans="6:13">
      <c r="F195" s="35"/>
      <c r="G195" s="35"/>
      <c r="H195" s="30"/>
      <c r="I195" s="30"/>
      <c r="J195" s="30"/>
      <c r="L195" s="1" t="str">
        <f t="shared" si="10"/>
        <v/>
      </c>
      <c r="M195" s="30" t="str">
        <f t="shared" si="11"/>
        <v/>
      </c>
    </row>
    <row r="196" spans="6:13">
      <c r="F196" s="35"/>
      <c r="G196" s="35"/>
      <c r="H196" s="30"/>
      <c r="I196" s="30"/>
      <c r="J196" s="30"/>
      <c r="L196" s="1" t="str">
        <f t="shared" si="10"/>
        <v/>
      </c>
      <c r="M196" s="30" t="str">
        <f t="shared" si="11"/>
        <v/>
      </c>
    </row>
    <row r="197" spans="6:13">
      <c r="F197" s="35"/>
      <c r="G197" s="35"/>
      <c r="H197" s="30"/>
      <c r="I197" s="30"/>
      <c r="J197" s="30"/>
      <c r="L197" s="1" t="str">
        <f t="shared" si="10"/>
        <v/>
      </c>
      <c r="M197" s="30" t="str">
        <f t="shared" si="11"/>
        <v/>
      </c>
    </row>
    <row r="198" spans="6:13">
      <c r="F198" s="35"/>
      <c r="G198" s="35"/>
      <c r="H198" s="30"/>
      <c r="I198" s="30"/>
      <c r="J198" s="30"/>
      <c r="L198" s="1" t="str">
        <f t="shared" si="10"/>
        <v/>
      </c>
      <c r="M198" s="30" t="str">
        <f t="shared" si="11"/>
        <v/>
      </c>
    </row>
    <row r="199" spans="6:13">
      <c r="F199" s="35"/>
      <c r="G199" s="35"/>
      <c r="H199" s="30"/>
      <c r="I199" s="30"/>
      <c r="J199" s="30"/>
      <c r="L199" s="1" t="str">
        <f t="shared" si="10"/>
        <v/>
      </c>
      <c r="M199" s="30" t="str">
        <f t="shared" si="11"/>
        <v/>
      </c>
    </row>
    <row r="200" spans="6:13">
      <c r="F200" s="35"/>
      <c r="G200" s="35"/>
      <c r="H200" s="30"/>
      <c r="I200" s="30"/>
      <c r="J200" s="30"/>
      <c r="L200" s="1" t="str">
        <f t="shared" si="10"/>
        <v/>
      </c>
      <c r="M200" s="30" t="str">
        <f t="shared" si="11"/>
        <v/>
      </c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0"/>
  <sheetViews>
    <sheetView tabSelected="1" workbookViewId="0">
      <selection activeCell="F7" sqref="F7"/>
    </sheetView>
  </sheetViews>
  <sheetFormatPr defaultRowHeight="13.8"/>
  <cols>
    <col min="1" max="1" width="10" style="36" customWidth="1"/>
    <col min="2" max="2" width="26" style="36" customWidth="1"/>
    <col min="3" max="3" width="55" style="36" customWidth="1"/>
    <col min="4" max="4" width="34" style="36" customWidth="1"/>
    <col min="5" max="8" width="8" style="36" customWidth="1"/>
    <col min="9" max="16384" width="8.796875" style="36"/>
  </cols>
  <sheetData>
    <row r="1" spans="1:8" ht="27.15" customHeight="1">
      <c r="A1" s="53" t="s">
        <v>117</v>
      </c>
      <c r="B1" s="53"/>
      <c r="C1" s="53"/>
      <c r="D1" s="53"/>
      <c r="E1" s="53"/>
      <c r="F1" s="53"/>
      <c r="G1" s="53"/>
      <c r="H1" s="53"/>
    </row>
    <row r="2" spans="1:8" ht="27.15" customHeight="1">
      <c r="A2" s="40" t="s">
        <v>118</v>
      </c>
      <c r="B2" s="40"/>
      <c r="C2" s="40"/>
      <c r="D2" s="40"/>
      <c r="E2" s="40"/>
      <c r="F2" s="40"/>
      <c r="G2" s="40"/>
      <c r="H2" s="40"/>
    </row>
    <row r="3" spans="1:8" ht="7.95" customHeight="1">
      <c r="A3" s="37"/>
      <c r="B3" s="37"/>
      <c r="C3" s="37"/>
      <c r="D3" s="37"/>
      <c r="E3" s="37"/>
      <c r="F3" s="37"/>
      <c r="G3" s="37"/>
      <c r="H3" s="37"/>
    </row>
    <row r="4" spans="1:8" ht="25.65" customHeight="1">
      <c r="A4" s="52" t="s">
        <v>119</v>
      </c>
      <c r="B4" s="52" t="s">
        <v>120</v>
      </c>
      <c r="C4" s="52"/>
      <c r="D4" s="52"/>
      <c r="E4" s="52"/>
      <c r="F4" s="52"/>
      <c r="G4" s="52"/>
      <c r="H4" s="52"/>
    </row>
    <row r="5" spans="1:8" ht="25.65" customHeight="1">
      <c r="A5" s="37"/>
      <c r="B5" s="37" t="s">
        <v>121</v>
      </c>
      <c r="C5" s="37" t="s">
        <v>122</v>
      </c>
      <c r="D5" s="37"/>
      <c r="E5" s="37"/>
      <c r="F5" s="37"/>
      <c r="G5" s="37"/>
      <c r="H5" s="37"/>
    </row>
    <row r="6" spans="1:8" ht="25.65" customHeight="1">
      <c r="A6" s="37"/>
      <c r="B6" s="37" t="s">
        <v>123</v>
      </c>
      <c r="C6" s="37" t="s">
        <v>124</v>
      </c>
      <c r="D6" s="37"/>
      <c r="E6" s="37"/>
      <c r="F6" s="37"/>
      <c r="G6" s="37"/>
      <c r="H6" s="37"/>
    </row>
    <row r="7" spans="1:8" ht="25.65" customHeight="1">
      <c r="A7" s="37"/>
      <c r="B7" s="37" t="s">
        <v>125</v>
      </c>
      <c r="C7" s="37" t="s">
        <v>126</v>
      </c>
      <c r="D7" s="37"/>
      <c r="E7" s="37"/>
      <c r="F7" s="37"/>
      <c r="G7" s="37"/>
      <c r="H7" s="37"/>
    </row>
    <row r="8" spans="1:8" ht="7.95" customHeight="1">
      <c r="A8" s="37"/>
      <c r="B8" s="37"/>
      <c r="C8" s="37"/>
      <c r="D8" s="37"/>
      <c r="E8" s="37"/>
      <c r="F8" s="37"/>
      <c r="G8" s="37"/>
      <c r="H8" s="37"/>
    </row>
    <row r="9" spans="1:8" ht="25.65" customHeight="1">
      <c r="A9" s="52" t="s">
        <v>127</v>
      </c>
      <c r="B9" s="52" t="s">
        <v>128</v>
      </c>
      <c r="C9" s="52"/>
      <c r="D9" s="52"/>
      <c r="E9" s="52"/>
      <c r="F9" s="52"/>
      <c r="G9" s="52"/>
      <c r="H9" s="52"/>
    </row>
    <row r="10" spans="1:8" ht="25.65" customHeight="1">
      <c r="A10" s="37"/>
      <c r="B10" s="37" t="s">
        <v>129</v>
      </c>
      <c r="C10" s="37" t="s">
        <v>130</v>
      </c>
      <c r="D10" s="37"/>
      <c r="E10" s="37"/>
      <c r="F10" s="37"/>
      <c r="G10" s="37"/>
      <c r="H10" s="37"/>
    </row>
    <row r="11" spans="1:8" ht="25.65" customHeight="1">
      <c r="A11" s="37"/>
      <c r="B11" s="37" t="s">
        <v>131</v>
      </c>
      <c r="C11" s="37" t="s">
        <v>132</v>
      </c>
      <c r="D11" s="37"/>
      <c r="E11" s="37"/>
      <c r="F11" s="37"/>
      <c r="G11" s="37"/>
      <c r="H11" s="37"/>
    </row>
    <row r="12" spans="1:8" ht="25.65" customHeight="1">
      <c r="A12" s="37"/>
      <c r="B12" s="37" t="s">
        <v>133</v>
      </c>
      <c r="C12" s="37" t="s">
        <v>134</v>
      </c>
      <c r="D12" s="37"/>
      <c r="E12" s="37"/>
      <c r="F12" s="37"/>
      <c r="G12" s="37"/>
      <c r="H12" s="37"/>
    </row>
    <row r="13" spans="1:8" ht="7.95" customHeight="1">
      <c r="A13" s="37"/>
      <c r="B13" s="37"/>
      <c r="C13" s="37"/>
      <c r="D13" s="37"/>
      <c r="E13" s="37"/>
      <c r="F13" s="37"/>
      <c r="G13" s="37"/>
      <c r="H13" s="37"/>
    </row>
    <row r="14" spans="1:8" ht="25.65" customHeight="1">
      <c r="A14" s="50" t="s">
        <v>135</v>
      </c>
      <c r="B14" s="50" t="s">
        <v>136</v>
      </c>
      <c r="C14" s="50"/>
      <c r="D14" s="50"/>
      <c r="E14" s="50"/>
      <c r="F14" s="50"/>
      <c r="G14" s="50"/>
      <c r="H14" s="50"/>
    </row>
    <row r="15" spans="1:8" ht="22.35" customHeight="1">
      <c r="A15" s="51" t="s">
        <v>137</v>
      </c>
      <c r="B15" s="51" t="s">
        <v>138</v>
      </c>
      <c r="C15" s="51" t="s">
        <v>139</v>
      </c>
      <c r="D15" s="51" t="s">
        <v>34</v>
      </c>
      <c r="E15" s="37"/>
      <c r="F15" s="37"/>
      <c r="G15" s="37"/>
      <c r="H15" s="37"/>
    </row>
    <row r="16" spans="1:8" ht="25.65" customHeight="1">
      <c r="A16" s="37" t="s">
        <v>119</v>
      </c>
      <c r="B16" s="37" t="s">
        <v>15</v>
      </c>
      <c r="C16" s="37" t="s">
        <v>140</v>
      </c>
      <c r="D16" s="37" t="s">
        <v>141</v>
      </c>
      <c r="E16" s="37"/>
      <c r="F16" s="37"/>
      <c r="G16" s="37"/>
      <c r="H16" s="37"/>
    </row>
    <row r="17" spans="1:8" ht="25.65" customHeight="1">
      <c r="A17" s="37" t="s">
        <v>127</v>
      </c>
      <c r="B17" s="37" t="s">
        <v>16</v>
      </c>
      <c r="C17" s="37" t="s">
        <v>142</v>
      </c>
      <c r="D17" s="37" t="s">
        <v>143</v>
      </c>
      <c r="E17" s="37"/>
      <c r="F17" s="37"/>
      <c r="G17" s="37"/>
      <c r="H17" s="37"/>
    </row>
    <row r="18" spans="1:8" ht="25.65" customHeight="1">
      <c r="A18" s="37" t="s">
        <v>135</v>
      </c>
      <c r="B18" s="37" t="s">
        <v>17</v>
      </c>
      <c r="C18" s="37" t="s">
        <v>144</v>
      </c>
      <c r="D18" s="37" t="s">
        <v>145</v>
      </c>
      <c r="E18" s="37"/>
      <c r="F18" s="37"/>
      <c r="G18" s="37"/>
      <c r="H18" s="37"/>
    </row>
    <row r="19" spans="1:8" ht="25.65" customHeight="1">
      <c r="A19" s="37" t="s">
        <v>146</v>
      </c>
      <c r="B19" s="37" t="s">
        <v>18</v>
      </c>
      <c r="C19" s="37" t="s">
        <v>147</v>
      </c>
      <c r="D19" s="37" t="s">
        <v>148</v>
      </c>
      <c r="E19" s="37"/>
      <c r="F19" s="37"/>
      <c r="G19" s="37"/>
      <c r="H19" s="37"/>
    </row>
    <row r="20" spans="1:8" ht="25.65" customHeight="1">
      <c r="A20" s="37" t="s">
        <v>149</v>
      </c>
      <c r="B20" s="37" t="s">
        <v>19</v>
      </c>
      <c r="C20" s="37" t="s">
        <v>150</v>
      </c>
      <c r="D20" s="37" t="s">
        <v>151</v>
      </c>
      <c r="E20" s="37"/>
      <c r="F20" s="37"/>
      <c r="G20" s="37"/>
      <c r="H20" s="37"/>
    </row>
    <row r="21" spans="1:8" ht="25.65" customHeight="1">
      <c r="A21" s="37" t="s">
        <v>152</v>
      </c>
      <c r="B21" s="37" t="s">
        <v>22</v>
      </c>
      <c r="C21" s="37" t="s">
        <v>153</v>
      </c>
      <c r="D21" s="37" t="s">
        <v>154</v>
      </c>
      <c r="E21" s="37"/>
      <c r="F21" s="37"/>
      <c r="G21" s="37"/>
      <c r="H21" s="37"/>
    </row>
    <row r="22" spans="1:8" ht="25.65" customHeight="1">
      <c r="A22" s="37" t="s">
        <v>155</v>
      </c>
      <c r="B22" s="37" t="s">
        <v>23</v>
      </c>
      <c r="C22" s="37" t="s">
        <v>156</v>
      </c>
      <c r="D22" s="37" t="s">
        <v>157</v>
      </c>
      <c r="E22" s="37"/>
      <c r="F22" s="37"/>
      <c r="G22" s="37"/>
      <c r="H22" s="37"/>
    </row>
    <row r="23" spans="1:8" ht="25.65" customHeight="1">
      <c r="A23" s="37" t="s">
        <v>158</v>
      </c>
      <c r="B23" s="37" t="s">
        <v>24</v>
      </c>
      <c r="C23" s="37" t="s">
        <v>159</v>
      </c>
      <c r="D23" s="37" t="s">
        <v>160</v>
      </c>
      <c r="E23" s="37"/>
      <c r="F23" s="37"/>
      <c r="G23" s="37"/>
      <c r="H23" s="37"/>
    </row>
    <row r="24" spans="1:8" ht="22.8" customHeight="1">
      <c r="A24" s="37" t="s">
        <v>161</v>
      </c>
      <c r="B24" s="37" t="s">
        <v>162</v>
      </c>
      <c r="C24" s="37" t="s">
        <v>163</v>
      </c>
      <c r="D24" s="37" t="s">
        <v>164</v>
      </c>
      <c r="E24" s="37"/>
      <c r="F24" s="37"/>
      <c r="G24" s="37"/>
      <c r="H24" s="37"/>
    </row>
    <row r="25" spans="1:8" ht="25.65" customHeight="1">
      <c r="A25" s="50"/>
      <c r="B25" s="50"/>
      <c r="C25" s="50"/>
      <c r="D25" s="50"/>
      <c r="E25" s="50"/>
      <c r="F25" s="50"/>
      <c r="G25" s="50"/>
      <c r="H25" s="50"/>
    </row>
    <row r="26" spans="1:8" ht="31.2" customHeight="1">
      <c r="A26" s="51" t="s">
        <v>146</v>
      </c>
      <c r="B26" s="51" t="s">
        <v>165</v>
      </c>
      <c r="C26" s="51"/>
      <c r="D26" s="51"/>
      <c r="E26" s="37"/>
      <c r="F26" s="37"/>
      <c r="G26" s="37"/>
      <c r="H26" s="37"/>
    </row>
    <row r="27" spans="1:8" ht="25.65" customHeight="1">
      <c r="A27" s="37" t="s">
        <v>166</v>
      </c>
      <c r="B27" s="37" t="s">
        <v>167</v>
      </c>
      <c r="C27" s="37" t="s">
        <v>168</v>
      </c>
      <c r="D27" s="37"/>
      <c r="E27" s="37"/>
      <c r="F27" s="37"/>
      <c r="G27" s="37"/>
      <c r="H27" s="37"/>
    </row>
    <row r="28" spans="1:8" ht="25.65" customHeight="1">
      <c r="A28" s="37" t="s">
        <v>20</v>
      </c>
      <c r="B28" s="37" t="s">
        <v>169</v>
      </c>
      <c r="C28" s="37" t="s">
        <v>170</v>
      </c>
      <c r="D28" s="37"/>
      <c r="E28" s="37"/>
      <c r="F28" s="37"/>
      <c r="G28" s="37"/>
      <c r="H28" s="37"/>
    </row>
    <row r="29" spans="1:8" ht="25.65" customHeight="1">
      <c r="A29" s="37" t="s">
        <v>171</v>
      </c>
      <c r="B29" s="37" t="s">
        <v>172</v>
      </c>
      <c r="C29" s="37" t="s">
        <v>173</v>
      </c>
      <c r="D29" s="37"/>
      <c r="E29" s="37"/>
      <c r="F29" s="37"/>
      <c r="G29" s="37"/>
      <c r="H29" s="37"/>
    </row>
    <row r="30" spans="1:8" ht="25.65" customHeight="1">
      <c r="A30" s="37" t="s">
        <v>174</v>
      </c>
      <c r="B30" s="37" t="s">
        <v>175</v>
      </c>
      <c r="C30" s="37" t="s">
        <v>176</v>
      </c>
      <c r="D30" s="37"/>
      <c r="E30" s="37"/>
      <c r="F30" s="37"/>
      <c r="G30" s="37"/>
      <c r="H30" s="37"/>
    </row>
    <row r="31" spans="1:8" ht="25.65" customHeight="1">
      <c r="A31" s="37" t="s">
        <v>28</v>
      </c>
      <c r="B31" s="37" t="s">
        <v>177</v>
      </c>
      <c r="C31" s="37" t="s">
        <v>178</v>
      </c>
      <c r="D31" s="37"/>
      <c r="E31" s="37"/>
      <c r="F31" s="37"/>
      <c r="G31" s="37"/>
      <c r="H31" s="37"/>
    </row>
    <row r="32" spans="1:8" ht="25.65" customHeight="1">
      <c r="A32" s="37" t="s">
        <v>48</v>
      </c>
      <c r="B32" s="37" t="s">
        <v>179</v>
      </c>
      <c r="C32" s="37" t="s">
        <v>180</v>
      </c>
      <c r="D32" s="37"/>
      <c r="E32" s="37"/>
      <c r="F32" s="37"/>
      <c r="G32" s="37"/>
      <c r="H32" s="37"/>
    </row>
    <row r="33" spans="1:8" ht="25.65" customHeight="1">
      <c r="A33" s="37" t="s">
        <v>6</v>
      </c>
      <c r="B33" s="37" t="s">
        <v>181</v>
      </c>
      <c r="C33" s="37" t="s">
        <v>182</v>
      </c>
      <c r="D33" s="37"/>
      <c r="E33" s="37"/>
      <c r="F33" s="37"/>
      <c r="G33" s="37"/>
      <c r="H33" s="37"/>
    </row>
    <row r="34" spans="1:8" ht="25.65" customHeight="1">
      <c r="A34" s="37" t="s">
        <v>2</v>
      </c>
      <c r="B34" s="37" t="s">
        <v>183</v>
      </c>
      <c r="C34" s="37" t="s">
        <v>184</v>
      </c>
      <c r="D34" s="37"/>
      <c r="E34" s="37"/>
      <c r="F34" s="37"/>
      <c r="G34" s="37"/>
      <c r="H34" s="37"/>
    </row>
    <row r="35" spans="1:8" ht="25.65" customHeight="1">
      <c r="A35" s="37" t="s">
        <v>31</v>
      </c>
      <c r="B35" s="37" t="s">
        <v>185</v>
      </c>
      <c r="C35" s="37" t="s">
        <v>186</v>
      </c>
      <c r="D35" s="37"/>
      <c r="E35" s="37"/>
      <c r="F35" s="37"/>
      <c r="G35" s="37"/>
      <c r="H35" s="37"/>
    </row>
    <row r="36" spans="1:8" ht="35.4" customHeight="1">
      <c r="A36" s="37" t="s">
        <v>187</v>
      </c>
      <c r="B36" s="37" t="s">
        <v>188</v>
      </c>
      <c r="C36" s="37" t="s">
        <v>189</v>
      </c>
      <c r="D36" s="37"/>
      <c r="E36" s="37"/>
      <c r="F36" s="37"/>
      <c r="G36" s="37"/>
      <c r="H36" s="37"/>
    </row>
    <row r="37" spans="1:8" ht="25.65" customHeight="1">
      <c r="A37" s="50"/>
      <c r="B37" s="50"/>
      <c r="C37" s="50"/>
      <c r="D37" s="50"/>
      <c r="E37" s="50"/>
      <c r="F37" s="50"/>
      <c r="G37" s="50"/>
      <c r="H37" s="50"/>
    </row>
    <row r="38" spans="1:8" ht="22.35" customHeight="1">
      <c r="A38" s="51" t="s">
        <v>149</v>
      </c>
      <c r="B38" s="51" t="s">
        <v>190</v>
      </c>
      <c r="C38" s="51"/>
      <c r="D38" s="51"/>
      <c r="E38" s="37"/>
      <c r="F38" s="37"/>
      <c r="G38" s="37"/>
      <c r="H38" s="37"/>
    </row>
    <row r="39" spans="1:8" ht="25.65" customHeight="1">
      <c r="A39" s="37" t="s">
        <v>137</v>
      </c>
      <c r="B39" s="37" t="s">
        <v>191</v>
      </c>
      <c r="C39" s="37" t="s">
        <v>192</v>
      </c>
      <c r="D39" s="37" t="s">
        <v>55</v>
      </c>
      <c r="E39" s="37"/>
      <c r="F39" s="37"/>
      <c r="G39" s="37"/>
      <c r="H39" s="37"/>
    </row>
    <row r="40" spans="1:8" ht="25.65" customHeight="1">
      <c r="A40" s="37" t="s">
        <v>119</v>
      </c>
      <c r="B40" s="37" t="s">
        <v>123</v>
      </c>
      <c r="C40" s="37" t="s">
        <v>193</v>
      </c>
      <c r="D40" s="37" t="s">
        <v>194</v>
      </c>
      <c r="E40" s="37"/>
      <c r="F40" s="37"/>
      <c r="G40" s="37"/>
      <c r="H40" s="37"/>
    </row>
    <row r="41" spans="1:8" ht="25.65" customHeight="1">
      <c r="A41" s="37" t="s">
        <v>127</v>
      </c>
      <c r="B41" s="37" t="s">
        <v>195</v>
      </c>
      <c r="C41" s="37" t="s">
        <v>196</v>
      </c>
      <c r="D41" s="37" t="s">
        <v>197</v>
      </c>
      <c r="E41" s="37"/>
      <c r="F41" s="37"/>
      <c r="G41" s="37"/>
      <c r="H41" s="37"/>
    </row>
    <row r="42" spans="1:8" ht="25.65" customHeight="1">
      <c r="A42" s="37" t="s">
        <v>135</v>
      </c>
      <c r="B42" s="37" t="s">
        <v>198</v>
      </c>
      <c r="C42" s="37" t="s">
        <v>199</v>
      </c>
      <c r="D42" s="37" t="s">
        <v>200</v>
      </c>
      <c r="E42" s="37"/>
      <c r="F42" s="37"/>
      <c r="G42" s="37"/>
      <c r="H42" s="37"/>
    </row>
    <row r="43" spans="1:8" ht="25.65" customHeight="1">
      <c r="A43" s="37" t="s">
        <v>146</v>
      </c>
      <c r="B43" s="37" t="s">
        <v>201</v>
      </c>
      <c r="C43" s="37" t="s">
        <v>202</v>
      </c>
      <c r="D43" s="37" t="s">
        <v>203</v>
      </c>
      <c r="E43" s="37"/>
      <c r="F43" s="37"/>
      <c r="G43" s="37"/>
      <c r="H43" s="37"/>
    </row>
    <row r="44" spans="1:8" ht="25.65" customHeight="1">
      <c r="A44" s="37" t="s">
        <v>149</v>
      </c>
      <c r="B44" s="37" t="s">
        <v>204</v>
      </c>
      <c r="C44" s="37" t="s">
        <v>205</v>
      </c>
      <c r="D44" s="37" t="s">
        <v>206</v>
      </c>
      <c r="E44" s="37"/>
      <c r="F44" s="37"/>
      <c r="G44" s="37"/>
      <c r="H44" s="37"/>
    </row>
    <row r="45" spans="1:8" ht="25.65" customHeight="1">
      <c r="A45" s="37" t="s">
        <v>152</v>
      </c>
      <c r="B45" s="37" t="s">
        <v>207</v>
      </c>
      <c r="C45" s="37" t="s">
        <v>208</v>
      </c>
      <c r="D45" s="37" t="s">
        <v>209</v>
      </c>
      <c r="E45" s="37"/>
      <c r="F45" s="37"/>
      <c r="G45" s="37"/>
      <c r="H45" s="37"/>
    </row>
    <row r="46" spans="1:8" ht="25.65" customHeight="1">
      <c r="A46" s="37" t="s">
        <v>155</v>
      </c>
      <c r="B46" s="37" t="s">
        <v>210</v>
      </c>
      <c r="C46" s="37" t="s">
        <v>211</v>
      </c>
      <c r="D46" s="37" t="s">
        <v>212</v>
      </c>
      <c r="E46" s="37"/>
      <c r="F46" s="37"/>
      <c r="G46" s="37"/>
      <c r="H46" s="37"/>
    </row>
    <row r="47" spans="1:8" ht="25.65" customHeight="1">
      <c r="A47" s="37" t="s">
        <v>158</v>
      </c>
      <c r="B47" s="37" t="s">
        <v>213</v>
      </c>
      <c r="C47" s="37" t="s">
        <v>214</v>
      </c>
      <c r="D47" s="37" t="s">
        <v>212</v>
      </c>
      <c r="E47" s="37"/>
      <c r="F47" s="37"/>
      <c r="G47" s="37"/>
      <c r="H47" s="37"/>
    </row>
    <row r="48" spans="1:8" ht="22.2" customHeight="1">
      <c r="A48" s="37" t="s">
        <v>161</v>
      </c>
      <c r="B48" s="37" t="s">
        <v>121</v>
      </c>
      <c r="C48" s="37" t="s">
        <v>215</v>
      </c>
      <c r="D48" s="37" t="s">
        <v>216</v>
      </c>
      <c r="E48" s="37"/>
      <c r="F48" s="37"/>
      <c r="G48" s="37"/>
      <c r="H48" s="37"/>
    </row>
    <row r="49" spans="1:8" ht="25.65" customHeight="1">
      <c r="A49" s="39"/>
      <c r="B49" s="39"/>
      <c r="C49" s="39"/>
      <c r="D49" s="39"/>
      <c r="E49" s="39"/>
      <c r="F49" s="39"/>
      <c r="G49" s="39"/>
      <c r="H49" s="39"/>
    </row>
    <row r="50" spans="1:8" ht="22.35" customHeight="1">
      <c r="A50" s="38" t="s">
        <v>152</v>
      </c>
      <c r="B50" s="38" t="s">
        <v>217</v>
      </c>
      <c r="C50" s="38"/>
      <c r="D50" s="38"/>
      <c r="E50" s="37"/>
      <c r="F50" s="37"/>
      <c r="G50" s="37"/>
      <c r="H50" s="37"/>
    </row>
    <row r="51" spans="1:8" ht="25.65" customHeight="1">
      <c r="A51" s="37" t="s">
        <v>218</v>
      </c>
      <c r="B51" s="37" t="s">
        <v>219</v>
      </c>
      <c r="C51" s="37" t="s">
        <v>220</v>
      </c>
      <c r="D51" s="37"/>
      <c r="E51" s="37"/>
      <c r="F51" s="37"/>
      <c r="G51" s="37"/>
      <c r="H51" s="37"/>
    </row>
    <row r="52" spans="1:8" ht="25.65" customHeight="1">
      <c r="A52" s="37" t="s">
        <v>221</v>
      </c>
      <c r="B52" s="37" t="s">
        <v>222</v>
      </c>
      <c r="C52" s="37" t="s">
        <v>223</v>
      </c>
      <c r="D52" s="37"/>
      <c r="E52" s="37"/>
      <c r="F52" s="37"/>
      <c r="G52" s="37"/>
      <c r="H52" s="37"/>
    </row>
    <row r="53" spans="1:8" ht="25.65" customHeight="1">
      <c r="A53" s="37" t="s">
        <v>224</v>
      </c>
      <c r="B53" s="37" t="s">
        <v>225</v>
      </c>
      <c r="C53" s="37" t="s">
        <v>226</v>
      </c>
      <c r="D53" s="37"/>
      <c r="E53" s="37"/>
      <c r="F53" s="37"/>
      <c r="G53" s="37"/>
      <c r="H53" s="37"/>
    </row>
    <row r="54" spans="1:8" ht="25.65" customHeight="1">
      <c r="A54" s="37" t="s">
        <v>227</v>
      </c>
      <c r="B54" s="37" t="s">
        <v>228</v>
      </c>
      <c r="C54" s="37" t="s">
        <v>229</v>
      </c>
      <c r="D54" s="37"/>
      <c r="E54" s="37"/>
      <c r="F54" s="37"/>
      <c r="G54" s="37"/>
      <c r="H54" s="37"/>
    </row>
    <row r="55" spans="1:8" ht="25.65" customHeight="1">
      <c r="A55" s="37" t="s">
        <v>230</v>
      </c>
      <c r="B55" s="37" t="s">
        <v>231</v>
      </c>
      <c r="C55" s="37" t="s">
        <v>232</v>
      </c>
      <c r="D55" s="37"/>
      <c r="E55" s="37"/>
      <c r="F55" s="37"/>
      <c r="G55" s="37"/>
      <c r="H55" s="37"/>
    </row>
    <row r="56" spans="1:8" ht="42.6" customHeight="1">
      <c r="A56" s="37" t="s">
        <v>233</v>
      </c>
      <c r="B56" s="37" t="s">
        <v>234</v>
      </c>
      <c r="C56" s="37" t="s">
        <v>235</v>
      </c>
      <c r="D56" s="37"/>
      <c r="E56" s="37"/>
      <c r="F56" s="37"/>
      <c r="G56" s="37"/>
      <c r="H56" s="37"/>
    </row>
    <row r="57" spans="1:8" ht="42.6" customHeight="1">
      <c r="A57" s="39"/>
      <c r="B57" s="39"/>
      <c r="C57" s="39"/>
      <c r="D57" s="39"/>
      <c r="E57" s="39"/>
      <c r="F57" s="39"/>
      <c r="G57" s="39"/>
      <c r="H57" s="39"/>
    </row>
    <row r="58" spans="1:8" ht="25.65" customHeight="1">
      <c r="A58" s="37" t="s">
        <v>155</v>
      </c>
      <c r="B58" s="37" t="s">
        <v>236</v>
      </c>
      <c r="C58" s="37"/>
      <c r="D58" s="37"/>
      <c r="E58" s="37"/>
      <c r="F58" s="37"/>
      <c r="G58" s="37"/>
      <c r="H58" s="37"/>
    </row>
    <row r="59" spans="1:8" ht="25.65" customHeight="1">
      <c r="A59" s="37"/>
      <c r="B59" s="37" t="s">
        <v>237</v>
      </c>
      <c r="C59" s="37" t="s">
        <v>238</v>
      </c>
      <c r="D59" s="37"/>
      <c r="E59" s="37"/>
      <c r="F59" s="37"/>
      <c r="G59" s="37"/>
      <c r="H59" s="37"/>
    </row>
    <row r="60" spans="1:8" ht="25.65" customHeight="1">
      <c r="A60" s="37"/>
      <c r="B60" s="37" t="s">
        <v>239</v>
      </c>
      <c r="C60" s="37" t="s">
        <v>240</v>
      </c>
      <c r="D60" s="37"/>
      <c r="E60" s="37"/>
      <c r="F60" s="37"/>
      <c r="G60" s="37"/>
      <c r="H60" s="37"/>
    </row>
    <row r="61" spans="1:8" ht="25.65" customHeight="1">
      <c r="A61" s="37"/>
      <c r="B61" s="37" t="s">
        <v>241</v>
      </c>
      <c r="C61" s="37" t="s">
        <v>242</v>
      </c>
      <c r="D61" s="37"/>
      <c r="E61" s="37"/>
      <c r="F61" s="37"/>
      <c r="G61" s="37"/>
      <c r="H61" s="37"/>
    </row>
    <row r="62" spans="1:8" ht="25.65" customHeight="1">
      <c r="A62" s="37"/>
      <c r="B62" s="37"/>
      <c r="C62" s="37"/>
      <c r="D62" s="37"/>
      <c r="E62" s="37"/>
      <c r="F62" s="37"/>
      <c r="G62" s="37"/>
      <c r="H62" s="37"/>
    </row>
    <row r="63" spans="1:8" ht="25.65" customHeight="1">
      <c r="A63" s="37"/>
      <c r="B63" s="37"/>
      <c r="C63" s="37"/>
      <c r="D63" s="37"/>
      <c r="E63" s="37"/>
      <c r="F63" s="37"/>
      <c r="G63" s="37"/>
      <c r="H63" s="37"/>
    </row>
    <row r="64" spans="1:8" ht="25.65" customHeight="1">
      <c r="A64" s="37"/>
      <c r="B64" s="37"/>
      <c r="C64" s="37"/>
      <c r="D64" s="37"/>
      <c r="E64" s="37"/>
      <c r="F64" s="37"/>
      <c r="G64" s="37"/>
      <c r="H64" s="37"/>
    </row>
    <row r="65" spans="1:8" ht="25.65" customHeight="1">
      <c r="A65" s="37"/>
      <c r="B65" s="37"/>
      <c r="C65" s="37"/>
      <c r="D65" s="37"/>
      <c r="E65" s="37"/>
      <c r="F65" s="37"/>
      <c r="G65" s="37"/>
      <c r="H65" s="37"/>
    </row>
    <row r="66" spans="1:8" ht="25.65" customHeight="1">
      <c r="A66" s="37"/>
      <c r="B66" s="37"/>
      <c r="C66" s="37"/>
      <c r="D66" s="37"/>
      <c r="E66" s="37"/>
      <c r="F66" s="37"/>
      <c r="G66" s="37"/>
      <c r="H66" s="37"/>
    </row>
    <row r="67" spans="1:8" ht="25.65" customHeight="1">
      <c r="A67" s="37"/>
      <c r="B67" s="37"/>
      <c r="C67" s="37"/>
      <c r="D67" s="37"/>
      <c r="E67" s="37"/>
      <c r="F67" s="37"/>
      <c r="G67" s="37"/>
      <c r="H67" s="37"/>
    </row>
    <row r="68" spans="1:8" ht="25.65" customHeight="1">
      <c r="A68" s="37"/>
      <c r="B68" s="37"/>
      <c r="C68" s="37"/>
      <c r="D68" s="37"/>
      <c r="E68" s="37"/>
      <c r="F68" s="37"/>
      <c r="G68" s="37"/>
      <c r="H68" s="37"/>
    </row>
    <row r="69" spans="1:8" ht="25.65" customHeight="1">
      <c r="A69" s="37"/>
      <c r="B69" s="37"/>
      <c r="C69" s="37"/>
      <c r="D69" s="37"/>
      <c r="E69" s="37"/>
      <c r="F69" s="37"/>
      <c r="G69" s="37"/>
      <c r="H69" s="37"/>
    </row>
    <row r="70" spans="1:8" ht="25.65" customHeight="1">
      <c r="A70" s="37"/>
      <c r="B70" s="37"/>
      <c r="C70" s="37"/>
      <c r="D70" s="37"/>
      <c r="E70" s="37"/>
      <c r="F70" s="37"/>
      <c r="G70" s="37"/>
      <c r="H70" s="37"/>
    </row>
    <row r="71" spans="1:8" ht="25.65" customHeight="1">
      <c r="A71" s="37"/>
      <c r="B71" s="37"/>
      <c r="C71" s="37"/>
      <c r="D71" s="37"/>
      <c r="E71" s="37"/>
      <c r="F71" s="37"/>
      <c r="G71" s="37"/>
      <c r="H71" s="37"/>
    </row>
    <row r="72" spans="1:8" ht="25.65" customHeight="1">
      <c r="A72" s="37"/>
      <c r="B72" s="37"/>
      <c r="C72" s="37"/>
      <c r="D72" s="37"/>
      <c r="E72" s="37"/>
      <c r="F72" s="37"/>
      <c r="G72" s="37"/>
      <c r="H72" s="37"/>
    </row>
    <row r="73" spans="1:8" ht="25.65" customHeight="1">
      <c r="A73" s="37"/>
      <c r="B73" s="37"/>
      <c r="C73" s="37"/>
      <c r="D73" s="37"/>
      <c r="E73" s="37"/>
      <c r="F73" s="37"/>
      <c r="G73" s="37"/>
      <c r="H73" s="37"/>
    </row>
    <row r="74" spans="1:8" ht="25.65" customHeight="1">
      <c r="A74" s="37"/>
      <c r="B74" s="37"/>
      <c r="C74" s="37"/>
      <c r="D74" s="37"/>
      <c r="E74" s="37"/>
      <c r="F74" s="37"/>
      <c r="G74" s="37"/>
      <c r="H74" s="37"/>
    </row>
    <row r="75" spans="1:8" ht="25.65" customHeight="1">
      <c r="A75" s="37"/>
      <c r="B75" s="37"/>
      <c r="C75" s="37"/>
      <c r="D75" s="37"/>
      <c r="E75" s="37"/>
      <c r="F75" s="37"/>
      <c r="G75" s="37"/>
      <c r="H75" s="37"/>
    </row>
    <row r="76" spans="1:8" ht="25.65" customHeight="1">
      <c r="A76" s="37"/>
      <c r="B76" s="37"/>
      <c r="C76" s="37"/>
      <c r="D76" s="37"/>
      <c r="E76" s="37"/>
      <c r="F76" s="37"/>
      <c r="G76" s="37"/>
      <c r="H76" s="37"/>
    </row>
    <row r="77" spans="1:8" ht="25.65" customHeight="1">
      <c r="A77" s="37"/>
      <c r="B77" s="37"/>
      <c r="C77" s="37"/>
      <c r="D77" s="37"/>
      <c r="E77" s="37"/>
      <c r="F77" s="37"/>
      <c r="G77" s="37"/>
      <c r="H77" s="37"/>
    </row>
    <row r="78" spans="1:8" ht="25.65" customHeight="1">
      <c r="A78" s="37"/>
      <c r="B78" s="37"/>
      <c r="C78" s="37"/>
      <c r="D78" s="37"/>
      <c r="E78" s="37"/>
      <c r="F78" s="37"/>
      <c r="G78" s="37"/>
      <c r="H78" s="37"/>
    </row>
    <row r="79" spans="1:8" ht="25.65" customHeight="1">
      <c r="A79" s="37"/>
      <c r="B79" s="37"/>
      <c r="C79" s="37"/>
      <c r="D79" s="37"/>
      <c r="E79" s="37"/>
      <c r="F79" s="37"/>
      <c r="G79" s="37"/>
      <c r="H79" s="37"/>
    </row>
    <row r="80" spans="1:8" ht="25.65" customHeight="1">
      <c r="A80" s="37"/>
      <c r="B80" s="37"/>
      <c r="C80" s="37"/>
      <c r="D80" s="37"/>
      <c r="E80" s="37"/>
      <c r="F80" s="37"/>
      <c r="G80" s="37"/>
      <c r="H80" s="37"/>
    </row>
  </sheetData>
  <mergeCells count="9">
    <mergeCell ref="A25:H25"/>
    <mergeCell ref="A37:H37"/>
    <mergeCell ref="A49:H49"/>
    <mergeCell ref="A57:H57"/>
    <mergeCell ref="A1:H1"/>
    <mergeCell ref="A2:H2"/>
    <mergeCell ref="A4:H4"/>
    <mergeCell ref="A9:H9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TÍNH LÃI LỖ</vt:lpstr>
      <vt:lpstr>DATA PHÍ &amp; SẢN PHẨM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THIỆN QUANG</cp:lastModifiedBy>
  <dcterms:modified xsi:type="dcterms:W3CDTF">2026-07-06T07:36:17Z</dcterms:modified>
</cp:coreProperties>
</file>